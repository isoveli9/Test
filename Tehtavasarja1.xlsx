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  <sheet name="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<sst xmlns="http://schemas.openxmlformats.org/spreadsheetml/2006/main" count="8" uniqueCount="8">
  <si>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p1</t>
  </si>
  <si>
    <t xml:space="preserve">p</t>
  </si>
  <si>
    <t xml:space="preserve">r(p)</t>
  </si>
  <si>
    <t xml:space="preserve">p2</t>
  </si>
  <si>
    <t xml:space="preserve">p*</t>
  </si>
  <si>
    <t xml:space="preserve">max r</t>
  </si>
  <si>
    <t xml:space="preserve">vuosi</t>
  </si>
  <si>
    <t xml:space="preserve">hinta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</si>
</sst>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r(p) = -3p² + 6p - 2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'1'!$D$2:$D$22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'1'!$E$2:$E$22</c:f>
              <c:numCache>
                <c:formatCode>General</c:formatCode>
                <c:ptCount val="21"/>
                <c:pt idx="0">
                  <c:v>-2</c:v>
                </c:pt>
                <c:pt idx="1">
                  <c:v>-1.43</c:v>
                </c:pt>
                <c:pt idx="2">
                  <c:v>-0.92</c:v>
                </c:pt>
                <c:pt idx="3">
                  <c:v>-0.47</c:v>
                </c:pt>
                <c:pt idx="4">
                  <c:v>-0.0799999999999996</c:v>
                </c:pt>
                <c:pt idx="5">
                  <c:v>0.25</c:v>
                </c:pt>
                <c:pt idx="6">
                  <c:v>0.52</c:v>
                </c:pt>
                <c:pt idx="7">
                  <c:v>0.73</c:v>
                </c:pt>
                <c:pt idx="8">
                  <c:v>0.88</c:v>
                </c:pt>
                <c:pt idx="9">
                  <c:v>0.97</c:v>
                </c:pt>
                <c:pt idx="10">
                  <c:v>1</c:v>
                </c:pt>
                <c:pt idx="11">
                  <c:v>0.97</c:v>
                </c:pt>
                <c:pt idx="12">
                  <c:v>0.879999999999999</c:v>
                </c:pt>
                <c:pt idx="13">
                  <c:v>0.73</c:v>
                </c:pt>
                <c:pt idx="14">
                  <c:v>0.52</c:v>
                </c:pt>
                <c:pt idx="15">
                  <c:v>0.25</c:v>
                </c:pt>
                <c:pt idx="16">
                  <c:v>-0.0800000000000001</c:v>
                </c:pt>
                <c:pt idx="17">
                  <c:v>-0.469999999999999</c:v>
                </c:pt>
                <c:pt idx="18">
                  <c:v>-0.92</c:v>
                </c:pt>
                <c:pt idx="19">
                  <c:v>-1.43</c:v>
                </c:pt>
                <c:pt idx="20">
                  <c:v>-2</c:v>
                </c:pt>
              </c:numCache>
            </c:numRef>
          </c:yVal>
          <c:smooth val="1"/>
        </c:ser>
        <c:axId val="64589754"/>
        <c:axId val="56003980"/>
      </c:scatterChart>
      <c:valAx>
        <c:axId val="64589754"/>
        <c:scaling>
          <c:orientation val="minMax"/>
          <c:max val="2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hinta 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03980"/>
        <c:crosses val="autoZero"/>
        <c:crossBetween val="midCat"/>
      </c:valAx>
      <c:valAx>
        <c:axId val="56003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voitto r(p)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897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LEGO 7674 inflaatiokorjattu hinta 2008-2025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'2'!$A$2:$A$19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xVal>
          <c:yVal>
            <c:numRef>
              <c:f>'2'!$B$2:$B$19</c:f>
              <c:numCache>
                <c:formatCode>General</c:formatCode>
                <c:ptCount val="18"/>
                <c:pt idx="0">
                  <c:v>54.99</c:v>
                </c:pt>
                <c:pt idx="1">
                  <c:v>56.359251</c:v>
                </c:pt>
                <c:pt idx="2">
                  <c:v>57.7625963499</c:v>
                </c:pt>
                <c:pt idx="3">
                  <c:v>59.2008849990125</c:v>
                </c:pt>
                <c:pt idx="4">
                  <c:v>60.6749870354879</c:v>
                </c:pt>
                <c:pt idx="5">
                  <c:v>62.1857942126716</c:v>
                </c:pt>
                <c:pt idx="6">
                  <c:v>63.7342204885671</c:v>
                </c:pt>
                <c:pt idx="7">
                  <c:v>65.3212025787324</c:v>
                </c:pt>
                <c:pt idx="8">
                  <c:v>66.9477005229428</c:v>
                </c:pt>
                <c:pt idx="9">
                  <c:v>68.6146982659641</c:v>
                </c:pt>
                <c:pt idx="10">
                  <c:v>70.3232042527866</c:v>
                </c:pt>
                <c:pt idx="11">
                  <c:v>72.074252038681</c:v>
                </c:pt>
                <c:pt idx="12">
                  <c:v>73.8689009144441</c:v>
                </c:pt>
                <c:pt idx="13">
                  <c:v>75.7082365472138</c:v>
                </c:pt>
                <c:pt idx="14">
                  <c:v>77.5933716372394</c:v>
                </c:pt>
                <c:pt idx="15">
                  <c:v>79.5254465910066</c:v>
                </c:pt>
                <c:pt idx="16">
                  <c:v>81.5056302111227</c:v>
                </c:pt>
                <c:pt idx="17">
                  <c:v>83.5351204033797</c:v>
                </c:pt>
              </c:numCache>
            </c:numRef>
          </c:yVal>
          <c:smooth val="1"/>
        </c:ser>
        <c:axId val="50220021"/>
        <c:axId val="4218503"/>
      </c:scatterChart>
      <c:valAx>
        <c:axId val="50220021"/>
        <c:scaling>
          <c:orientation val="minMax"/>
          <c:max val="2025"/>
          <c:min val="2008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vuosi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8503"/>
        <c:crosses val="autoZero"/>
        <c:crossBetween val="midCat"/>
      </c:valAx>
      <c:valAx>
        <c:axId val="4218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hinta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200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13</xdr:col>
      <xdr:colOff>87840</xdr:colOff>
      <xdr:row>14</xdr:row>
      <xdr:rowOff>32760</xdr:rowOff>
    </xdr:to>
    <xdr:graphicFrame>
      <xdr:nvGraphicFramePr>
        <xdr:cNvPr id="0" name="Chart 1"/>
        <xdr:cNvGraphicFramePr/>
      </xdr:nvGraphicFramePr>
      <xdr:xfrm>
        <a:off x="4552920" y="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10</xdr:col>
      <xdr:colOff>88200</xdr:colOff>
      <xdr:row>14</xdr:row>
      <xdr:rowOff>32760</xdr:rowOff>
    </xdr:to>
    <xdr:graphicFrame>
      <xdr:nvGraphicFramePr>
        <xdr:cNvPr id="1" name="Chart 1"/>
        <xdr:cNvGraphicFramePr/>
      </xdr:nvGraphicFramePr>
      <xdr:xfrm>
        <a:off x="2276640" y="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f aca="false">(-6+SQRT(6^2-4*(-3)*(-2)))/(2*(-3))</f>
        <v>0.422649730810374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s">
        <v>3</v>
      </c>
      <c r="B2" s="0" t="n">
        <f aca="false">(-6-SQRT(6^2-4*(-3)*(-2)))/(2*(-3))</f>
        <v>1.57735026918963</v>
      </c>
      <c r="D2" s="0" t="n">
        <v>0</v>
      </c>
      <c r="E2" s="0" t="n">
        <f aca="false">-3*D2^2+6*D2-2</f>
        <v>-2</v>
      </c>
    </row>
    <row r="3" customFormat="false" ht="15" hidden="false" customHeight="false" outlineLevel="0" collapsed="false">
      <c r="A3" s="0" t="s">
        <v>4</v>
      </c>
      <c r="B3" s="0" t="n">
        <f aca="false">-6/(2*(-3))</f>
        <v>1</v>
      </c>
      <c r="D3" s="0" t="n">
        <v>0.1</v>
      </c>
      <c r="E3" s="0" t="n">
        <f aca="false">-3*D3^2+6*D3-2</f>
        <v>-1.43</v>
      </c>
    </row>
    <row r="4" customFormat="false" ht="15" hidden="false" customHeight="false" outlineLevel="0" collapsed="false">
      <c r="A4" s="0" t="s">
        <v>5</v>
      </c>
      <c r="B4" s="0" t="n">
        <f aca="false">-3*B3^2+6*B3-2</f>
        <v>1</v>
      </c>
      <c r="D4" s="0" t="n">
        <v>0.2</v>
      </c>
      <c r="E4" s="0" t="n">
        <f aca="false">-3*D4^2+6*D4-2</f>
        <v>-0.92</v>
      </c>
    </row>
    <row r="5" customFormat="false" ht="15" hidden="false" customHeight="false" outlineLevel="0" collapsed="false">
      <c r="D5" s="0" t="n">
        <v>0.3</v>
      </c>
      <c r="E5" s="0" t="n">
        <f aca="false">-3*D5^2+6*D5-2</f>
        <v>-0.47</v>
      </c>
    </row>
    <row r="6" customFormat="false" ht="15" hidden="false" customHeight="false" outlineLevel="0" collapsed="false">
      <c r="D6" s="0" t="n">
        <v>0.4</v>
      </c>
      <c r="E6" s="0" t="n">
        <f aca="false">-3*D6^2+6*D6-2</f>
        <v>-0.0799999999999996</v>
      </c>
    </row>
    <row r="7" customFormat="false" ht="15" hidden="false" customHeight="false" outlineLevel="0" collapsed="false">
      <c r="D7" s="0" t="n">
        <v>0.5</v>
      </c>
      <c r="E7" s="0" t="n">
        <f aca="false">-3*D7^2+6*D7-2</f>
        <v>0.25</v>
      </c>
    </row>
    <row r="8" customFormat="false" ht="15" hidden="false" customHeight="false" outlineLevel="0" collapsed="false">
      <c r="D8" s="0" t="n">
        <v>0.6</v>
      </c>
      <c r="E8" s="0" t="n">
        <f aca="false">-3*D8^2+6*D8-2</f>
        <v>0.52</v>
      </c>
    </row>
    <row r="9" customFormat="false" ht="15" hidden="false" customHeight="false" outlineLevel="0" collapsed="false">
      <c r="D9" s="0" t="n">
        <v>0.7</v>
      </c>
      <c r="E9" s="0" t="n">
        <f aca="false">-3*D9^2+6*D9-2</f>
        <v>0.73</v>
      </c>
    </row>
    <row r="10" customFormat="false" ht="15" hidden="false" customHeight="false" outlineLevel="0" collapsed="false">
      <c r="D10" s="0" t="n">
        <v>0.8</v>
      </c>
      <c r="E10" s="0" t="n">
        <f aca="false">-3*D10^2+6*D10-2</f>
        <v>0.88</v>
      </c>
    </row>
    <row r="11" customFormat="false" ht="15" hidden="false" customHeight="false" outlineLevel="0" collapsed="false">
      <c r="D11" s="0" t="n">
        <v>0.9</v>
      </c>
      <c r="E11" s="0" t="n">
        <f aca="false">-3*D11^2+6*D11-2</f>
        <v>0.97</v>
      </c>
    </row>
    <row r="12" customFormat="false" ht="15" hidden="false" customHeight="false" outlineLevel="0" collapsed="false">
      <c r="D12" s="0" t="n">
        <v>1</v>
      </c>
      <c r="E12" s="0" t="n">
        <f aca="false">-3*D12^2+6*D12-2</f>
        <v>1</v>
      </c>
    </row>
    <row r="13" customFormat="false" ht="15" hidden="false" customHeight="false" outlineLevel="0" collapsed="false">
      <c r="D13" s="0" t="n">
        <v>1.1</v>
      </c>
      <c r="E13" s="0" t="n">
        <f aca="false">-3*D13^2+6*D13-2</f>
        <v>0.97</v>
      </c>
    </row>
    <row r="14" customFormat="false" ht="15" hidden="false" customHeight="false" outlineLevel="0" collapsed="false">
      <c r="D14" s="0" t="n">
        <v>1.2</v>
      </c>
      <c r="E14" s="0" t="n">
        <f aca="false">-3*D14^2+6*D14-2</f>
        <v>0.879999999999999</v>
      </c>
    </row>
    <row r="15" customFormat="false" ht="15" hidden="false" customHeight="false" outlineLevel="0" collapsed="false">
      <c r="D15" s="0" t="n">
        <v>1.3</v>
      </c>
      <c r="E15" s="0" t="n">
        <f aca="false">-3*D15^2+6*D15-2</f>
        <v>0.73</v>
      </c>
    </row>
    <row r="16" customFormat="false" ht="15" hidden="false" customHeight="false" outlineLevel="0" collapsed="false">
      <c r="D16" s="0" t="n">
        <v>1.4</v>
      </c>
      <c r="E16" s="0" t="n">
        <f aca="false">-3*D16^2+6*D16-2</f>
        <v>0.52</v>
      </c>
    </row>
    <row r="17" customFormat="false" ht="15" hidden="false" customHeight="false" outlineLevel="0" collapsed="false">
      <c r="D17" s="0" t="n">
        <v>1.5</v>
      </c>
      <c r="E17" s="0" t="n">
        <f aca="false">-3*D17^2+6*D17-2</f>
        <v>0.25</v>
      </c>
    </row>
    <row r="18" customFormat="false" ht="15" hidden="false" customHeight="false" outlineLevel="0" collapsed="false">
      <c r="D18" s="0" t="n">
        <v>1.6</v>
      </c>
      <c r="E18" s="0" t="n">
        <f aca="false">-3*D18^2+6*D18-2</f>
        <v>-0.0800000000000001</v>
      </c>
    </row>
    <row r="19" customFormat="false" ht="15" hidden="false" customHeight="false" outlineLevel="0" collapsed="false">
      <c r="D19" s="0" t="n">
        <v>1.7</v>
      </c>
      <c r="E19" s="0" t="n">
        <f aca="false">-3*D19^2+6*D19-2</f>
        <v>-0.469999999999999</v>
      </c>
    </row>
    <row r="20" customFormat="false" ht="15" hidden="false" customHeight="false" outlineLevel="0" collapsed="false">
      <c r="D20" s="0" t="n">
        <v>1.8</v>
      </c>
      <c r="E20" s="0" t="n">
        <f aca="false">-3*D20^2+6*D20-2</f>
        <v>-0.92</v>
      </c>
    </row>
    <row r="21" customFormat="false" ht="15" hidden="false" customHeight="false" outlineLevel="0" collapsed="false">
      <c r="D21" s="0" t="n">
        <v>1.9</v>
      </c>
      <c r="E21" s="0" t="n">
        <f aca="false">-3*D21^2+6*D21-2</f>
        <v>-1.43</v>
      </c>
    </row>
    <row r="22" customFormat="false" ht="15" hidden="false" customHeight="false" outlineLevel="0" collapsed="false">
      <c r="D22" s="0" t="n">
        <v>2</v>
      </c>
      <c r="E22" s="0" t="n">
        <f aca="false">-3*D22^2+6*D22-2</f>
        <v>-2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7</v>
      </c>
    </row>
    <row r="2" customFormat="false" ht="15" hidden="false" customHeight="false" outlineLevel="0" collapsed="false">
      <c r="A2" s="0" t="n">
        <v>2008</v>
      </c>
      <c r="B2" s="0" t="n">
        <f aca="false">54.99*1.0249^(A2-2008)</f>
        <v>54.99</v>
      </c>
    </row>
    <row r="3" customFormat="false" ht="15" hidden="false" customHeight="false" outlineLevel="0" collapsed="false">
      <c r="A3" s="0" t="n">
        <v>2009</v>
      </c>
      <c r="B3" s="0" t="n">
        <f aca="false">54.99*1.0249^(A3-2008)</f>
        <v>56.359251</v>
      </c>
    </row>
    <row r="4" customFormat="false" ht="15" hidden="false" customHeight="false" outlineLevel="0" collapsed="false">
      <c r="A4" s="0" t="n">
        <v>2010</v>
      </c>
      <c r="B4" s="0" t="n">
        <f aca="false">54.99*1.0249^(A4-2008)</f>
        <v>57.7625963499</v>
      </c>
    </row>
    <row r="5" customFormat="false" ht="15" hidden="false" customHeight="false" outlineLevel="0" collapsed="false">
      <c r="A5" s="0" t="n">
        <v>2011</v>
      </c>
      <c r="B5" s="0" t="n">
        <f aca="false">54.99*1.0249^(A5-2008)</f>
        <v>59.2008849990125</v>
      </c>
    </row>
    <row r="6" customFormat="false" ht="15" hidden="false" customHeight="false" outlineLevel="0" collapsed="false">
      <c r="A6" s="0" t="n">
        <v>2012</v>
      </c>
      <c r="B6" s="0" t="n">
        <f aca="false">54.99*1.0249^(A6-2008)</f>
        <v>60.6749870354879</v>
      </c>
    </row>
    <row r="7" customFormat="false" ht="15" hidden="false" customHeight="false" outlineLevel="0" collapsed="false">
      <c r="A7" s="0" t="n">
        <v>2013</v>
      </c>
      <c r="B7" s="0" t="n">
        <f aca="false">54.99*1.0249^(A7-2008)</f>
        <v>62.1857942126716</v>
      </c>
    </row>
    <row r="8" customFormat="false" ht="15" hidden="false" customHeight="false" outlineLevel="0" collapsed="false">
      <c r="A8" s="0" t="n">
        <v>2014</v>
      </c>
      <c r="B8" s="0" t="n">
        <f aca="false">54.99*1.0249^(A8-2008)</f>
        <v>63.7342204885671</v>
      </c>
    </row>
    <row r="9" customFormat="false" ht="15" hidden="false" customHeight="false" outlineLevel="0" collapsed="false">
      <c r="A9" s="0" t="n">
        <v>2015</v>
      </c>
      <c r="B9" s="0" t="n">
        <f aca="false">54.99*1.0249^(A9-2008)</f>
        <v>65.3212025787324</v>
      </c>
    </row>
    <row r="10" customFormat="false" ht="15" hidden="false" customHeight="false" outlineLevel="0" collapsed="false">
      <c r="A10" s="0" t="n">
        <v>2016</v>
      </c>
      <c r="B10" s="0" t="n">
        <f aca="false">54.99*1.0249^(A10-2008)</f>
        <v>66.9477005229428</v>
      </c>
    </row>
    <row r="11" customFormat="false" ht="15" hidden="false" customHeight="false" outlineLevel="0" collapsed="false">
      <c r="A11" s="0" t="n">
        <v>2017</v>
      </c>
      <c r="B11" s="0" t="n">
        <f aca="false">54.99*1.0249^(A11-2008)</f>
        <v>68.6146982659641</v>
      </c>
    </row>
    <row r="12" customFormat="false" ht="15" hidden="false" customHeight="false" outlineLevel="0" collapsed="false">
      <c r="A12" s="0" t="n">
        <v>2018</v>
      </c>
      <c r="B12" s="0" t="n">
        <f aca="false">54.99*1.0249^(A12-2008)</f>
        <v>70.3232042527866</v>
      </c>
    </row>
    <row r="13" customFormat="false" ht="15" hidden="false" customHeight="false" outlineLevel="0" collapsed="false">
      <c r="A13" s="0" t="n">
        <v>2019</v>
      </c>
      <c r="B13" s="0" t="n">
        <f aca="false">54.99*1.0249^(A13-2008)</f>
        <v>72.074252038681</v>
      </c>
    </row>
    <row r="14" customFormat="false" ht="15" hidden="false" customHeight="false" outlineLevel="0" collapsed="false">
      <c r="A14" s="0" t="n">
        <v>2020</v>
      </c>
      <c r="B14" s="0" t="n">
        <f aca="false">54.99*1.0249^(A14-2008)</f>
        <v>73.8689009144441</v>
      </c>
    </row>
    <row r="15" customFormat="false" ht="15" hidden="false" customHeight="false" outlineLevel="0" collapsed="false">
      <c r="A15" s="0" t="n">
        <v>2021</v>
      </c>
      <c r="B15" s="0" t="n">
        <f aca="false">54.99*1.0249^(A15-2008)</f>
        <v>75.7082365472138</v>
      </c>
    </row>
    <row r="16" customFormat="false" ht="15" hidden="false" customHeight="false" outlineLevel="0" collapsed="false">
      <c r="A16" s="0" t="n">
        <v>2022</v>
      </c>
      <c r="B16" s="0" t="n">
        <f aca="false">54.99*1.0249^(A16-2008)</f>
        <v>77.5933716372394</v>
      </c>
    </row>
    <row r="17" customFormat="false" ht="15" hidden="false" customHeight="false" outlineLevel="0" collapsed="false">
      <c r="A17" s="0" t="n">
        <v>2023</v>
      </c>
      <c r="B17" s="0" t="n">
        <f aca="false">54.99*1.0249^(A17-2008)</f>
        <v>79.5254465910066</v>
      </c>
    </row>
    <row r="18" customFormat="false" ht="15" hidden="false" customHeight="false" outlineLevel="0" collapsed="false">
      <c r="A18" s="0" t="n">
        <v>2024</v>
      </c>
      <c r="B18" s="0" t="n">
        <f aca="false">54.99*1.0249^(A18-2008)</f>
        <v>81.5056302111227</v>
      </c>
    </row>
    <row r="19" customFormat="false" ht="15" hidden="false" customHeight="false" outlineLevel="0" collapsed="false">
      <c r="A19" s="0" t="n">
        <v>2025</v>
      </c>
      <c r="B19" s="0" t="n">
        <f aca="false">54.99*1.0249^(A19-2008)</f>
        <v>83.5351204033797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2026-09-27T08:22:35Z</dcterms:created>
  <dc:creator>openpyxl</dc:creator>
  <dc:description/>
  <dc:language>en-US</dc:language>
  <cp:lastModifiedBy/>
  <dcterms:modified xsi:type="dcterms:W3CDTF">2026-09-27T08:22:37Z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