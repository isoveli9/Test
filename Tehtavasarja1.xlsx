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ht1" sheetId="1" state="visible" r:id="rId3"/>
    <sheet name="Teht2" sheetId="2" state="visible" r:id="rId4"/>
    <sheet name="Teht3" sheetId="3" state="visible" r:id="rId5"/>
    <sheet name="Teh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Annettu tehtävänannossa (pilvinen päivä).</t>
        </r>
      </text>
    </comment>
    <comment ref="B19" authorId="0">
      <text>
        <r>
          <rPr>
            <sz val="10"/>
            <rFont val="Arial"/>
            <family val="2"/>
          </rPr>
          <t xml:space="preserve">Taulukon p-arvojen väli. Taulukko alkaa p = 0.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Lähde: tehtävänanto / brickset.com/sets/7674-1</t>
        </r>
      </text>
    </comment>
    <comment ref="B6" authorId="0">
      <text>
        <r>
          <rPr>
            <sz val="10"/>
            <rFont val="Arial"/>
            <family val="2"/>
          </rPr>
          <t xml:space="preserve">Lähde: tehtävänanto (BLS CPI, keskiarvo 2.49 %)</t>
        </r>
      </text>
    </comment>
  </commentList>
</comments>
</file>

<file path=xl/sharedStrings.xml><?xml version="1.0" encoding="utf-8"?>
<sst xmlns="http://schemas.openxmlformats.org/spreadsheetml/2006/main" count="73" uniqueCount="71">
  <si>
    <t xml:space="preserve">Tehtävä 1: Toisen asteen funktio  r(p) = a·p² + b·p + c</t>
  </si>
  <si>
    <t xml:space="preserve">Siniset keltaisella taustalla = syötteet (voi muuttaa). Vihreät = vastaukset.</t>
  </si>
  <si>
    <t xml:space="preserve">Syötteet</t>
  </si>
  <si>
    <t xml:space="preserve">Taulukko</t>
  </si>
  <si>
    <t xml:space="preserve">a (kysyntäkerroin)</t>
  </si>
  <si>
    <t xml:space="preserve">p</t>
  </si>
  <si>
    <t xml:space="preserve">r(p)</t>
  </si>
  <si>
    <t xml:space="preserve">Kuvaajan erikoispisteet</t>
  </si>
  <si>
    <t xml:space="preserve">b (kysyntäkerroin)</t>
  </si>
  <si>
    <t xml:space="preserve">Nollakohdat</t>
  </si>
  <si>
    <t xml:space="preserve">Huippu</t>
  </si>
  <si>
    <t xml:space="preserve">c (paketin kustannus)</t>
  </si>
  <si>
    <t xml:space="preserve">c-1) Tapa 1: kaavat</t>
  </si>
  <si>
    <t xml:space="preserve">Diskriminantti D = b² − 4ac</t>
  </si>
  <si>
    <t xml:space="preserve">Nollakohta p1 = (−b + √D) / (2a)</t>
  </si>
  <si>
    <t xml:space="preserve">Nollakohta p2 = (−b − √D) / (2a)</t>
  </si>
  <si>
    <t xml:space="preserve">Tarkistus r(p1)</t>
  </si>
  <si>
    <t xml:space="preserve">Tarkistus r(p2)</t>
  </si>
  <si>
    <t xml:space="preserve">Derivaatan nollakohta p* = −b / (2a)</t>
  </si>
  <si>
    <t xml:space="preserve">Suurin voitto r(p*)</t>
  </si>
  <si>
    <t xml:space="preserve">c-2) Tapa 2: approksimointi taulukosta (D-E)</t>
  </si>
  <si>
    <t xml:space="preserve">Askelväli Δp</t>
  </si>
  <si>
    <t xml:space="preserve">Suurin voitto MAX(r)</t>
  </si>
  <si>
    <t xml:space="preserve">Hinta, jolla MAX saavutetaan</t>
  </si>
  <si>
    <t xml:space="preserve">Pienin taulukon p, jolla r(p) &gt; 0</t>
  </si>
  <si>
    <t xml:space="preserve">Suurin taulukon p, jolla r(p) &gt; 0</t>
  </si>
  <si>
    <t xml:space="preserve">Kannattavien hintojen lukumäärä taulukossa</t>
  </si>
  <si>
    <t xml:space="preserve">Vastaukset</t>
  </si>
  <si>
    <t xml:space="preserve">a) Kannattava hintaväli</t>
  </si>
  <si>
    <t xml:space="preserve">b) Suurin voitto (hinnalla p = 1)</t>
  </si>
  <si>
    <t xml:space="preserve">Tarkat arvot: p1,2 = 1 ∓ √3/3 ≈ 0.423 ja 1.577, max r(1) = 1</t>
  </si>
  <si>
    <t xml:space="preserve">Taulukossa r(p) &gt; 0 välillä 0.43…1.57 (askel 0.01) – sama tulos.</t>
  </si>
  <si>
    <t xml:space="preserve">Tehtävä 2: Eksponenttifunktio  p(t) = p0·(1 + r)^t</t>
  </si>
  <si>
    <t xml:space="preserve">LEGO 7674 V-19 Torrent, julkaistu 2008. Siniset keltaisella = syötteet.</t>
  </si>
  <si>
    <t xml:space="preserve">b) Hinnat 2008–2025</t>
  </si>
  <si>
    <t xml:space="preserve">Julkaisuhinta p0 (USD)</t>
  </si>
  <si>
    <t xml:space="preserve">Vuosi</t>
  </si>
  <si>
    <t xml:space="preserve">t</t>
  </si>
  <si>
    <t xml:space="preserve">p(t) (USD)</t>
  </si>
  <si>
    <t xml:space="preserve">Vuotuinen inflaatio r (CPI)</t>
  </si>
  <si>
    <t xml:space="preserve">Julkaisuvuosi</t>
  </si>
  <si>
    <t xml:space="preserve">a) Tarkistus Excelillä</t>
  </si>
  <si>
    <t xml:space="preserve">Hinta vuonna 2015 (t = 7)</t>
  </si>
  <si>
    <t xml:space="preserve">Hinta vuonna 2025 (t = 17)</t>
  </si>
  <si>
    <t xml:space="preserve">Hinnan kokonaisnousu 2008 → 2025</t>
  </si>
  <si>
    <t xml:space="preserve">Tehtävä 3: Logaritmi (Excel laskimena)</t>
  </si>
  <si>
    <t xml:space="preserve">Ratkaisun välivaiheet on esitetty paperilaskuissa (ratkaisut.pdf).</t>
  </si>
  <si>
    <t xml:space="preserve">a) Radium-226, m(t) = m0·(1/2)^(t / t½)</t>
  </si>
  <si>
    <t xml:space="preserve">Alkuperäinen massa m0 (µg)</t>
  </si>
  <si>
    <t xml:space="preserve">Puoliintumisaika t½ (vuotta)</t>
  </si>
  <si>
    <t xml:space="preserve">Jäljellä oleva osuus</t>
  </si>
  <si>
    <t xml:space="preserve">Valmistusvuosi (Rolex 6204)</t>
  </si>
  <si>
    <t xml:space="preserve">t = t½ · ln(0.67) / ln(1/2)  (vuotta)</t>
  </si>
  <si>
    <t xml:space="preserve">Vuosi = 1954 + t</t>
  </si>
  <si>
    <t xml:space="preserve">Tarkistus: m(t) (µg), pitäisi olla 0.67·3 = 2.01</t>
  </si>
  <si>
    <t xml:space="preserve">b) LEGO-setin arvo 100:aan, p(t) = p0·(1+r)^t</t>
  </si>
  <si>
    <t xml:space="preserve">p0</t>
  </si>
  <si>
    <t xml:space="preserve">r</t>
  </si>
  <si>
    <t xml:space="preserve">Tavoitearvo</t>
  </si>
  <si>
    <t xml:space="preserve">t = ln(100 / p0) / ln(1 + r)  (vuotta)</t>
  </si>
  <si>
    <t xml:space="preserve">Vuosi = 2008 + t</t>
  </si>
  <si>
    <t xml:space="preserve">Tarkistus: p(t)</t>
  </si>
  <si>
    <t xml:space="preserve">Tehtävä 4: Osuudet ja prosentit (Excel laskimena)</t>
  </si>
  <si>
    <t xml:space="preserve">Luvut tehtävänannosta (Tilastokeskus).</t>
  </si>
  <si>
    <t xml:space="preserve">Aste 2010</t>
  </si>
  <si>
    <t xml:space="preserve">Aste 2015</t>
  </si>
  <si>
    <t xml:space="preserve">Aste 2025</t>
  </si>
  <si>
    <t xml:space="preserve">a) Muutos 2010 → 2025 prosenttiyksikköinä (76 − 71.7)</t>
  </si>
  <si>
    <t xml:space="preserve">b) Suhteellinen muutos 2010 → 2025 ((76 − 71.7) / 71.7)</t>
  </si>
  <si>
    <t xml:space="preserve">c) Suhteellinen muutos 2010 → 2015 ((71.5 − 71.7) / 71.7)</t>
  </si>
  <si>
    <t xml:space="preserve">   eli lasku prosentteina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</si>
</sst>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.0000"/>
    <numFmt numFmtId="167" formatCode="0.000"/>
    <numFmt numFmtId="168" formatCode="0"/>
    <numFmt numFmtId="169" formatCode="0.0"/>
    <numFmt numFmtId="170" formatCode="0.00%"/>
    <numFmt numFmtId="171" formatCode="0.0%"/>
    <numFmt numFmtId="172" formatCode="0%"/>
    <numFmt numFmtId="173" formatCode="0.0&quot; %-yks.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d) Voittofunktio r(p) = −3p² + 6p − 2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Teht1!E5</c:f>
              <c:strCache>
                <c:ptCount val="1"/>
                <c:pt idx="0">
                  <c:v>r(p)</c:v>
                </c:pt>
              </c:strCache>
            </c:strRef>
          </c:tx>
          <c:spPr>
            <a:solidFill>
              <a:srgbClr val="1f4e79"/>
            </a:solidFill>
            <a:ln w="2808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Teht1!$D$6:$D$206</c:f>
              <c:numCache>
                <c:formatCode>0.00</c:formatCode>
                <c:ptCount val="2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0.760000000000001</c:v>
                </c:pt>
                <c:pt idx="77">
                  <c:v>0.770000000000001</c:v>
                </c:pt>
                <c:pt idx="78">
                  <c:v>0.780000000000001</c:v>
                </c:pt>
                <c:pt idx="79">
                  <c:v>0.790000000000001</c:v>
                </c:pt>
                <c:pt idx="80">
                  <c:v>0.800000000000001</c:v>
                </c:pt>
                <c:pt idx="81">
                  <c:v>0.810000000000001</c:v>
                </c:pt>
                <c:pt idx="82">
                  <c:v>0.820000000000001</c:v>
                </c:pt>
                <c:pt idx="83">
                  <c:v>0.830000000000001</c:v>
                </c:pt>
                <c:pt idx="84">
                  <c:v>0.840000000000001</c:v>
                </c:pt>
                <c:pt idx="85">
                  <c:v>0.850000000000001</c:v>
                </c:pt>
                <c:pt idx="86">
                  <c:v>0.860000000000001</c:v>
                </c:pt>
                <c:pt idx="87">
                  <c:v>0.870000000000001</c:v>
                </c:pt>
                <c:pt idx="88">
                  <c:v>0.880000000000001</c:v>
                </c:pt>
                <c:pt idx="89">
                  <c:v>0.890000000000001</c:v>
                </c:pt>
                <c:pt idx="90">
                  <c:v>0.900000000000001</c:v>
                </c:pt>
                <c:pt idx="91">
                  <c:v>0.910000000000001</c:v>
                </c:pt>
                <c:pt idx="92">
                  <c:v>0.920000000000001</c:v>
                </c:pt>
                <c:pt idx="93">
                  <c:v>0.930000000000001</c:v>
                </c:pt>
                <c:pt idx="94">
                  <c:v>0.940000000000001</c:v>
                </c:pt>
                <c:pt idx="95">
                  <c:v>0.950000000000001</c:v>
                </c:pt>
                <c:pt idx="96">
                  <c:v>0.960000000000001</c:v>
                </c:pt>
                <c:pt idx="97">
                  <c:v>0.970000000000001</c:v>
                </c:pt>
                <c:pt idx="98">
                  <c:v>0.980000000000001</c:v>
                </c:pt>
                <c:pt idx="99">
                  <c:v>0.990000000000001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</c:numCache>
            </c:numRef>
          </c:xVal>
          <c:yVal>
            <c:numRef>
              <c:f>Teht1!$E$6:$E$206</c:f>
              <c:numCache>
                <c:formatCode>0.0000</c:formatCode>
                <c:ptCount val="201"/>
                <c:pt idx="0">
                  <c:v>-2</c:v>
                </c:pt>
                <c:pt idx="1">
                  <c:v>-1.9403</c:v>
                </c:pt>
                <c:pt idx="2">
                  <c:v>-1.8812</c:v>
                </c:pt>
                <c:pt idx="3">
                  <c:v>-1.8227</c:v>
                </c:pt>
                <c:pt idx="4">
                  <c:v>-1.7648</c:v>
                </c:pt>
                <c:pt idx="5">
                  <c:v>-1.7075</c:v>
                </c:pt>
                <c:pt idx="6">
                  <c:v>-1.6508</c:v>
                </c:pt>
                <c:pt idx="7">
                  <c:v>-1.5947</c:v>
                </c:pt>
                <c:pt idx="8">
                  <c:v>-1.5392</c:v>
                </c:pt>
                <c:pt idx="9">
                  <c:v>-1.4843</c:v>
                </c:pt>
                <c:pt idx="10">
                  <c:v>-1.43</c:v>
                </c:pt>
                <c:pt idx="11">
                  <c:v>-1.3763</c:v>
                </c:pt>
                <c:pt idx="12">
                  <c:v>-1.3232</c:v>
                </c:pt>
                <c:pt idx="13">
                  <c:v>-1.2707</c:v>
                </c:pt>
                <c:pt idx="14">
                  <c:v>-1.2188</c:v>
                </c:pt>
                <c:pt idx="15">
                  <c:v>-1.1675</c:v>
                </c:pt>
                <c:pt idx="16">
                  <c:v>-1.1168</c:v>
                </c:pt>
                <c:pt idx="17">
                  <c:v>-1.0667</c:v>
                </c:pt>
                <c:pt idx="18">
                  <c:v>-1.0172</c:v>
                </c:pt>
                <c:pt idx="19">
                  <c:v>-0.9683</c:v>
                </c:pt>
                <c:pt idx="20">
                  <c:v>-0.92</c:v>
                </c:pt>
                <c:pt idx="21">
                  <c:v>-0.8723</c:v>
                </c:pt>
                <c:pt idx="22">
                  <c:v>-0.8252</c:v>
                </c:pt>
                <c:pt idx="23">
                  <c:v>-0.7787</c:v>
                </c:pt>
                <c:pt idx="24">
                  <c:v>-0.7328</c:v>
                </c:pt>
                <c:pt idx="25">
                  <c:v>-0.6875</c:v>
                </c:pt>
                <c:pt idx="26">
                  <c:v>-0.6428</c:v>
                </c:pt>
                <c:pt idx="27">
                  <c:v>-0.5987</c:v>
                </c:pt>
                <c:pt idx="28">
                  <c:v>-0.5552</c:v>
                </c:pt>
                <c:pt idx="29">
                  <c:v>-0.5123</c:v>
                </c:pt>
                <c:pt idx="30">
                  <c:v>-0.47</c:v>
                </c:pt>
                <c:pt idx="31">
                  <c:v>-0.428299999999999</c:v>
                </c:pt>
                <c:pt idx="32">
                  <c:v>-0.3872</c:v>
                </c:pt>
                <c:pt idx="33">
                  <c:v>-0.346699999999999</c:v>
                </c:pt>
                <c:pt idx="34">
                  <c:v>-0.306799999999999</c:v>
                </c:pt>
                <c:pt idx="35">
                  <c:v>-0.267499999999999</c:v>
                </c:pt>
                <c:pt idx="36">
                  <c:v>-0.228799999999999</c:v>
                </c:pt>
                <c:pt idx="37">
                  <c:v>-0.190699999999999</c:v>
                </c:pt>
                <c:pt idx="38">
                  <c:v>-0.153199999999999</c:v>
                </c:pt>
                <c:pt idx="39">
                  <c:v>-0.116299999999999</c:v>
                </c:pt>
                <c:pt idx="40">
                  <c:v>-0.0799999999999992</c:v>
                </c:pt>
                <c:pt idx="41">
                  <c:v>-0.0442999999999993</c:v>
                </c:pt>
                <c:pt idx="42">
                  <c:v>-0.00919999999999921</c:v>
                </c:pt>
                <c:pt idx="43">
                  <c:v>0.025300000000001</c:v>
                </c:pt>
                <c:pt idx="44">
                  <c:v>0.059200000000001</c:v>
                </c:pt>
                <c:pt idx="45">
                  <c:v>0.0925000000000011</c:v>
                </c:pt>
                <c:pt idx="46">
                  <c:v>0.125200000000001</c:v>
                </c:pt>
                <c:pt idx="47">
                  <c:v>0.157300000000001</c:v>
                </c:pt>
                <c:pt idx="48">
                  <c:v>0.188800000000001</c:v>
                </c:pt>
                <c:pt idx="49">
                  <c:v>0.219700000000001</c:v>
                </c:pt>
                <c:pt idx="50">
                  <c:v>0.250000000000001</c:v>
                </c:pt>
                <c:pt idx="51">
                  <c:v>0.279700000000001</c:v>
                </c:pt>
                <c:pt idx="52">
                  <c:v>0.308800000000001</c:v>
                </c:pt>
                <c:pt idx="53">
                  <c:v>0.337300000000001</c:v>
                </c:pt>
                <c:pt idx="54">
                  <c:v>0.365200000000001</c:v>
                </c:pt>
                <c:pt idx="55">
                  <c:v>0.392500000000001</c:v>
                </c:pt>
                <c:pt idx="56">
                  <c:v>0.419200000000001</c:v>
                </c:pt>
                <c:pt idx="57">
                  <c:v>0.445300000000001</c:v>
                </c:pt>
                <c:pt idx="58">
                  <c:v>0.470800000000001</c:v>
                </c:pt>
                <c:pt idx="59">
                  <c:v>0.495700000000001</c:v>
                </c:pt>
                <c:pt idx="60">
                  <c:v>0.520000000000001</c:v>
                </c:pt>
                <c:pt idx="61">
                  <c:v>0.543700000000001</c:v>
                </c:pt>
                <c:pt idx="62">
                  <c:v>0.566800000000001</c:v>
                </c:pt>
                <c:pt idx="63">
                  <c:v>0.589300000000001</c:v>
                </c:pt>
                <c:pt idx="64">
                  <c:v>0.611200000000001</c:v>
                </c:pt>
                <c:pt idx="65">
                  <c:v>0.632500000000001</c:v>
                </c:pt>
                <c:pt idx="66">
                  <c:v>0.653200000000001</c:v>
                </c:pt>
                <c:pt idx="67">
                  <c:v>0.673300000000001</c:v>
                </c:pt>
                <c:pt idx="68">
                  <c:v>0.6928</c:v>
                </c:pt>
                <c:pt idx="69">
                  <c:v>0.711700000000001</c:v>
                </c:pt>
                <c:pt idx="70">
                  <c:v>0.730000000000001</c:v>
                </c:pt>
                <c:pt idx="71">
                  <c:v>0.747700000000001</c:v>
                </c:pt>
                <c:pt idx="72">
                  <c:v>0.7648</c:v>
                </c:pt>
                <c:pt idx="73">
                  <c:v>0.781300000000001</c:v>
                </c:pt>
                <c:pt idx="74">
                  <c:v>0.797200000000001</c:v>
                </c:pt>
                <c:pt idx="75">
                  <c:v>0.812500000000001</c:v>
                </c:pt>
                <c:pt idx="76">
                  <c:v>0.8272</c:v>
                </c:pt>
                <c:pt idx="77">
                  <c:v>0.8413</c:v>
                </c:pt>
                <c:pt idx="78">
                  <c:v>0.854800000000001</c:v>
                </c:pt>
                <c:pt idx="79">
                  <c:v>0.867700000000001</c:v>
                </c:pt>
                <c:pt idx="80">
                  <c:v>0.88</c:v>
                </c:pt>
                <c:pt idx="81">
                  <c:v>0.891700000000001</c:v>
                </c:pt>
                <c:pt idx="82">
                  <c:v>0.902800000000001</c:v>
                </c:pt>
                <c:pt idx="83">
                  <c:v>0.9133</c:v>
                </c:pt>
                <c:pt idx="84">
                  <c:v>0.9232</c:v>
                </c:pt>
                <c:pt idx="85">
                  <c:v>0.932500000000001</c:v>
                </c:pt>
                <c:pt idx="86">
                  <c:v>0.941200000000001</c:v>
                </c:pt>
                <c:pt idx="87">
                  <c:v>0.949300000000001</c:v>
                </c:pt>
                <c:pt idx="88">
                  <c:v>0.9568</c:v>
                </c:pt>
                <c:pt idx="89">
                  <c:v>0.9637</c:v>
                </c:pt>
                <c:pt idx="90">
                  <c:v>0.970000000000001</c:v>
                </c:pt>
                <c:pt idx="91">
                  <c:v>0.9757</c:v>
                </c:pt>
                <c:pt idx="92">
                  <c:v>0.9808</c:v>
                </c:pt>
                <c:pt idx="93">
                  <c:v>0.985300000000001</c:v>
                </c:pt>
                <c:pt idx="94">
                  <c:v>0.989200000000001</c:v>
                </c:pt>
                <c:pt idx="95">
                  <c:v>0.9925</c:v>
                </c:pt>
                <c:pt idx="96">
                  <c:v>0.9952</c:v>
                </c:pt>
                <c:pt idx="97">
                  <c:v>0.9973</c:v>
                </c:pt>
                <c:pt idx="98">
                  <c:v>0.998800000000001</c:v>
                </c:pt>
                <c:pt idx="99">
                  <c:v>0.9997</c:v>
                </c:pt>
                <c:pt idx="100">
                  <c:v>1</c:v>
                </c:pt>
                <c:pt idx="101">
                  <c:v>0.9997</c:v>
                </c:pt>
                <c:pt idx="102">
                  <c:v>0.998800000000001</c:v>
                </c:pt>
                <c:pt idx="103">
                  <c:v>0.9973</c:v>
                </c:pt>
                <c:pt idx="104">
                  <c:v>0.9952</c:v>
                </c:pt>
                <c:pt idx="105">
                  <c:v>0.9925</c:v>
                </c:pt>
                <c:pt idx="106">
                  <c:v>0.9892</c:v>
                </c:pt>
                <c:pt idx="107">
                  <c:v>0.9853</c:v>
                </c:pt>
                <c:pt idx="108">
                  <c:v>0.980799999999999</c:v>
                </c:pt>
                <c:pt idx="109">
                  <c:v>0.975699999999999</c:v>
                </c:pt>
                <c:pt idx="110">
                  <c:v>0.97</c:v>
                </c:pt>
                <c:pt idx="111">
                  <c:v>0.963699999999999</c:v>
                </c:pt>
                <c:pt idx="112">
                  <c:v>0.956799999999999</c:v>
                </c:pt>
                <c:pt idx="113">
                  <c:v>0.9493</c:v>
                </c:pt>
                <c:pt idx="114">
                  <c:v>0.941199999999999</c:v>
                </c:pt>
                <c:pt idx="115">
                  <c:v>0.932499999999999</c:v>
                </c:pt>
                <c:pt idx="116">
                  <c:v>0.923199999999999</c:v>
                </c:pt>
                <c:pt idx="117">
                  <c:v>0.913299999999999</c:v>
                </c:pt>
                <c:pt idx="118">
                  <c:v>0.9028</c:v>
                </c:pt>
                <c:pt idx="119">
                  <c:v>0.891699999999999</c:v>
                </c:pt>
                <c:pt idx="120">
                  <c:v>0.879999999999999</c:v>
                </c:pt>
                <c:pt idx="121">
                  <c:v>0.867699999999999</c:v>
                </c:pt>
                <c:pt idx="122">
                  <c:v>0.854799999999999</c:v>
                </c:pt>
                <c:pt idx="123">
                  <c:v>0.841299999999999</c:v>
                </c:pt>
                <c:pt idx="124">
                  <c:v>0.827199999999999</c:v>
                </c:pt>
                <c:pt idx="125">
                  <c:v>0.812499999999998</c:v>
                </c:pt>
                <c:pt idx="126">
                  <c:v>0.797199999999998</c:v>
                </c:pt>
                <c:pt idx="127">
                  <c:v>0.781299999999999</c:v>
                </c:pt>
                <c:pt idx="128">
                  <c:v>0.764799999999998</c:v>
                </c:pt>
                <c:pt idx="129">
                  <c:v>0.747699999999998</c:v>
                </c:pt>
                <c:pt idx="130">
                  <c:v>0.729999999999999</c:v>
                </c:pt>
                <c:pt idx="131">
                  <c:v>0.711699999999999</c:v>
                </c:pt>
                <c:pt idx="132">
                  <c:v>0.692799999999997</c:v>
                </c:pt>
                <c:pt idx="133">
                  <c:v>0.673299999999998</c:v>
                </c:pt>
                <c:pt idx="134">
                  <c:v>0.653199999999998</c:v>
                </c:pt>
                <c:pt idx="135">
                  <c:v>0.632499999999997</c:v>
                </c:pt>
                <c:pt idx="136">
                  <c:v>0.611199999999998</c:v>
                </c:pt>
                <c:pt idx="137">
                  <c:v>0.589299999999998</c:v>
                </c:pt>
                <c:pt idx="138">
                  <c:v>0.566799999999998</c:v>
                </c:pt>
                <c:pt idx="139">
                  <c:v>0.543699999999999</c:v>
                </c:pt>
                <c:pt idx="140">
                  <c:v>0.519999999999997</c:v>
                </c:pt>
                <c:pt idx="141">
                  <c:v>0.495699999999998</c:v>
                </c:pt>
                <c:pt idx="142">
                  <c:v>0.470799999999997</c:v>
                </c:pt>
                <c:pt idx="143">
                  <c:v>0.445299999999997</c:v>
                </c:pt>
                <c:pt idx="144">
                  <c:v>0.419199999999996</c:v>
                </c:pt>
                <c:pt idx="145">
                  <c:v>0.392499999999997</c:v>
                </c:pt>
                <c:pt idx="146">
                  <c:v>0.365199999999997</c:v>
                </c:pt>
                <c:pt idx="147">
                  <c:v>0.337299999999997</c:v>
                </c:pt>
                <c:pt idx="148">
                  <c:v>0.308799999999996</c:v>
                </c:pt>
                <c:pt idx="149">
                  <c:v>0.279699999999997</c:v>
                </c:pt>
                <c:pt idx="150">
                  <c:v>0.249999999999996</c:v>
                </c:pt>
                <c:pt idx="151">
                  <c:v>0.219699999999995</c:v>
                </c:pt>
                <c:pt idx="152">
                  <c:v>0.188799999999995</c:v>
                </c:pt>
                <c:pt idx="153">
                  <c:v>0.157299999999996</c:v>
                </c:pt>
                <c:pt idx="154">
                  <c:v>0.125199999999997</c:v>
                </c:pt>
                <c:pt idx="155">
                  <c:v>0.0924999999999976</c:v>
                </c:pt>
                <c:pt idx="156">
                  <c:v>0.0591999999999953</c:v>
                </c:pt>
                <c:pt idx="157">
                  <c:v>0.0252999999999961</c:v>
                </c:pt>
                <c:pt idx="158">
                  <c:v>-0.00920000000000432</c:v>
                </c:pt>
                <c:pt idx="159">
                  <c:v>-0.0443000000000051</c:v>
                </c:pt>
                <c:pt idx="160">
                  <c:v>-0.0800000000000054</c:v>
                </c:pt>
                <c:pt idx="161">
                  <c:v>-0.116300000000004</c:v>
                </c:pt>
                <c:pt idx="162">
                  <c:v>-0.153200000000004</c:v>
                </c:pt>
                <c:pt idx="163">
                  <c:v>-0.190700000000003</c:v>
                </c:pt>
                <c:pt idx="164">
                  <c:v>-0.228800000000005</c:v>
                </c:pt>
                <c:pt idx="165">
                  <c:v>-0.267500000000005</c:v>
                </c:pt>
                <c:pt idx="166">
                  <c:v>-0.306800000000004</c:v>
                </c:pt>
                <c:pt idx="167">
                  <c:v>-0.346700000000006</c:v>
                </c:pt>
                <c:pt idx="168">
                  <c:v>-0.387200000000005</c:v>
                </c:pt>
                <c:pt idx="169">
                  <c:v>-0.428300000000005</c:v>
                </c:pt>
                <c:pt idx="170">
                  <c:v>-0.470000000000006</c:v>
                </c:pt>
                <c:pt idx="171">
                  <c:v>-0.512300000000005</c:v>
                </c:pt>
                <c:pt idx="172">
                  <c:v>-0.555200000000006</c:v>
                </c:pt>
                <c:pt idx="173">
                  <c:v>-0.598700000000006</c:v>
                </c:pt>
                <c:pt idx="174">
                  <c:v>-0.642800000000005</c:v>
                </c:pt>
                <c:pt idx="175">
                  <c:v>-0.687500000000007</c:v>
                </c:pt>
                <c:pt idx="176">
                  <c:v>-0.732800000000006</c:v>
                </c:pt>
                <c:pt idx="177">
                  <c:v>-0.778700000000006</c:v>
                </c:pt>
                <c:pt idx="178">
                  <c:v>-0.825200000000006</c:v>
                </c:pt>
                <c:pt idx="179">
                  <c:v>-0.872300000000006</c:v>
                </c:pt>
                <c:pt idx="180">
                  <c:v>-0.920000000000007</c:v>
                </c:pt>
                <c:pt idx="181">
                  <c:v>-0.968300000000006</c:v>
                </c:pt>
                <c:pt idx="182">
                  <c:v>-1.01720000000001</c:v>
                </c:pt>
                <c:pt idx="183">
                  <c:v>-1.06670000000001</c:v>
                </c:pt>
                <c:pt idx="184">
                  <c:v>-1.11680000000001</c:v>
                </c:pt>
                <c:pt idx="185">
                  <c:v>-1.16750000000001</c:v>
                </c:pt>
                <c:pt idx="186">
                  <c:v>-1.21880000000001</c:v>
                </c:pt>
                <c:pt idx="187">
                  <c:v>-1.27070000000001</c:v>
                </c:pt>
                <c:pt idx="188">
                  <c:v>-1.32320000000001</c:v>
                </c:pt>
                <c:pt idx="189">
                  <c:v>-1.37630000000001</c:v>
                </c:pt>
                <c:pt idx="190">
                  <c:v>-1.43000000000001</c:v>
                </c:pt>
                <c:pt idx="191">
                  <c:v>-1.48430000000001</c:v>
                </c:pt>
                <c:pt idx="192">
                  <c:v>-1.53920000000001</c:v>
                </c:pt>
                <c:pt idx="193">
                  <c:v>-1.59470000000001</c:v>
                </c:pt>
                <c:pt idx="194">
                  <c:v>-1.65080000000001</c:v>
                </c:pt>
                <c:pt idx="195">
                  <c:v>-1.70750000000001</c:v>
                </c:pt>
                <c:pt idx="196">
                  <c:v>-1.76480000000001</c:v>
                </c:pt>
                <c:pt idx="197">
                  <c:v>-1.82270000000001</c:v>
                </c:pt>
                <c:pt idx="198">
                  <c:v>-1.88120000000001</c:v>
                </c:pt>
                <c:pt idx="199">
                  <c:v>-1.94030000000001</c:v>
                </c:pt>
                <c:pt idx="200">
                  <c:v>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"Nollakohdat p1, p2"</c:f>
              <c:strCache>
                <c:ptCount val="1"/>
                <c:pt idx="0">
                  <c:v>Nollakohdat p1, p2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Teht1!$G$7:$G$8</c:f>
              <c:numCache>
                <c:formatCode>0.000</c:formatCode>
                <c:ptCount val="2"/>
                <c:pt idx="0">
                  <c:v>0.422649730810374</c:v>
                </c:pt>
                <c:pt idx="1">
                  <c:v>1.57735026918963</c:v>
                </c:pt>
              </c:numCache>
            </c:numRef>
          </c:xVal>
          <c:yVal>
            <c:numRef>
              <c:f>Teht1!$H$7:$H$8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"Suurin voitto"</c:f>
              <c:strCache>
                <c:ptCount val="1"/>
                <c:pt idx="0">
                  <c:v>Suurin voitto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diamond"/>
            <c:size val="10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Teht1!$G$9</c:f>
              <c:numCache>
                <c:formatCode>0.000</c:formatCode>
                <c:ptCount val="1"/>
                <c:pt idx="0">
                  <c:v>1</c:v>
                </c:pt>
              </c:numCache>
            </c:numRef>
          </c:xVal>
          <c:yVal>
            <c:numRef>
              <c:f>Teht1!$I$9</c:f>
              <c:numCache>
                <c:formatCode>0.000</c:formatCode>
                <c:ptCount val="1"/>
                <c:pt idx="0">
                  <c:v>1</c:v>
                </c:pt>
              </c:numCache>
            </c:numRef>
          </c:yVal>
          <c:smooth val="1"/>
        </c:ser>
        <c:axId val="19507407"/>
        <c:axId val="58617418"/>
      </c:scatterChart>
      <c:valAx>
        <c:axId val="19507407"/>
        <c:scaling>
          <c:orientation val="minMax"/>
          <c:max val="2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Jäätelöpallon hinta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17418"/>
        <c:crosses val="autoZero"/>
        <c:crossBetween val="midCat"/>
        <c:majorUnit val="0.25"/>
      </c:valAx>
      <c:valAx>
        <c:axId val="58617418"/>
        <c:scaling>
          <c:orientation val="minMax"/>
          <c:max val="1.5"/>
          <c:min val="-2.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Voitto r(p)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07407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c) LEGO 7674:n inflaatiokorjattu hinta 2008–2025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"p(t)"</c:f>
              <c:strCache>
                <c:ptCount val="1"/>
                <c:pt idx="0">
                  <c:v>p(t)</c:v>
                </c:pt>
              </c:strCache>
            </c:strRef>
          </c:tx>
          <c:spPr>
            <a:solidFill>
              <a:srgbClr val="1f4e79"/>
            </a:solidFill>
            <a:ln w="21960">
              <a:solidFill>
                <a:srgbClr val="1f4e79"/>
              </a:solidFill>
              <a:round/>
            </a:ln>
          </c:spPr>
          <c:marker>
            <c:symbol val="circle"/>
            <c:size val="6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Teht2!$D$6:$D$23</c:f>
              <c:numCache>
                <c:formatCode>0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xVal>
          <c:yVal>
            <c:numRef>
              <c:f>Teht2!$F$6:$F$23</c:f>
              <c:numCache>
                <c:formatCode>0.00</c:formatCode>
                <c:ptCount val="18"/>
                <c:pt idx="0">
                  <c:v>54.99</c:v>
                </c:pt>
                <c:pt idx="1">
                  <c:v>56.359251</c:v>
                </c:pt>
                <c:pt idx="2">
                  <c:v>57.7625963499</c:v>
                </c:pt>
                <c:pt idx="3">
                  <c:v>59.2008849990125</c:v>
                </c:pt>
                <c:pt idx="4">
                  <c:v>60.6749870354879</c:v>
                </c:pt>
                <c:pt idx="5">
                  <c:v>62.1857942126716</c:v>
                </c:pt>
                <c:pt idx="6">
                  <c:v>63.7342204885671</c:v>
                </c:pt>
                <c:pt idx="7">
                  <c:v>65.3212025787324</c:v>
                </c:pt>
                <c:pt idx="8">
                  <c:v>66.9477005229428</c:v>
                </c:pt>
                <c:pt idx="9">
                  <c:v>68.6146982659641</c:v>
                </c:pt>
                <c:pt idx="10">
                  <c:v>70.3232042527866</c:v>
                </c:pt>
                <c:pt idx="11">
                  <c:v>72.074252038681</c:v>
                </c:pt>
                <c:pt idx="12">
                  <c:v>73.8689009144441</c:v>
                </c:pt>
                <c:pt idx="13">
                  <c:v>75.7082365472138</c:v>
                </c:pt>
                <c:pt idx="14">
                  <c:v>77.5933716372394</c:v>
                </c:pt>
                <c:pt idx="15">
                  <c:v>79.5254465910066</c:v>
                </c:pt>
                <c:pt idx="16">
                  <c:v>81.5056302111227</c:v>
                </c:pt>
                <c:pt idx="17">
                  <c:v>83.5351204033797</c:v>
                </c:pt>
              </c:numCache>
            </c:numRef>
          </c:yVal>
          <c:smooth val="1"/>
        </c:ser>
        <c:axId val="45033363"/>
        <c:axId val="87000551"/>
      </c:scatterChart>
      <c:valAx>
        <c:axId val="45033363"/>
        <c:scaling>
          <c:orientation val="minMax"/>
          <c:max val="2025"/>
          <c:min val="2008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Vuosi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00551"/>
        <c:crosses val="autoZero"/>
        <c:crossBetween val="midCat"/>
        <c:majorUnit val="1"/>
      </c:valAx>
      <c:valAx>
        <c:axId val="87000551"/>
        <c:scaling>
          <c:orientation val="minMax"/>
          <c:max val="9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Hinta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33363"/>
        <c:crosses val="autoZero"/>
        <c:crossBetween val="midCat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176040</xdr:rowOff>
    </xdr:from>
    <xdr:to>
      <xdr:col>13</xdr:col>
      <xdr:colOff>239400</xdr:colOff>
      <xdr:row>29</xdr:row>
      <xdr:rowOff>156240</xdr:rowOff>
    </xdr:to>
    <xdr:graphicFrame>
      <xdr:nvGraphicFramePr>
        <xdr:cNvPr id="0" name="Chart 1"/>
        <xdr:cNvGraphicFramePr/>
      </xdr:nvGraphicFramePr>
      <xdr:xfrm>
        <a:off x="8137440" y="20955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176040</xdr:rowOff>
    </xdr:from>
    <xdr:to>
      <xdr:col>15</xdr:col>
      <xdr:colOff>408960</xdr:colOff>
      <xdr:row>22</xdr:row>
      <xdr:rowOff>156240</xdr:rowOff>
    </xdr:to>
    <xdr:graphicFrame>
      <xdr:nvGraphicFramePr>
        <xdr:cNvPr id="1" name="Chart 1"/>
        <xdr:cNvGraphicFramePr/>
      </xdr:nvGraphicFramePr>
      <xdr:xfrm>
        <a:off x="8493120" y="76212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</row>
    <row r="5" customFormat="false" ht="15" hidden="false" customHeight="false" outlineLevel="0" collapsed="false">
      <c r="A5" s="4" t="s">
        <v>4</v>
      </c>
      <c r="B5" s="5" t="n">
        <v>-3</v>
      </c>
      <c r="D5" s="6" t="s">
        <v>5</v>
      </c>
      <c r="E5" s="6" t="s">
        <v>6</v>
      </c>
      <c r="G5" s="7" t="s">
        <v>7</v>
      </c>
    </row>
    <row r="6" customFormat="false" ht="15" hidden="false" customHeight="false" outlineLevel="0" collapsed="false">
      <c r="A6" s="4" t="s">
        <v>8</v>
      </c>
      <c r="B6" s="5" t="n">
        <v>6</v>
      </c>
      <c r="D6" s="8" t="n">
        <v>0</v>
      </c>
      <c r="E6" s="9" t="n">
        <f aca="false">$B$5*D6^2+$B$6*D6+$B$7</f>
        <v>-2</v>
      </c>
      <c r="G6" s="10" t="s">
        <v>5</v>
      </c>
      <c r="H6" s="10" t="s">
        <v>9</v>
      </c>
      <c r="I6" s="10" t="s">
        <v>10</v>
      </c>
    </row>
    <row r="7" customFormat="false" ht="15" hidden="false" customHeight="false" outlineLevel="0" collapsed="false">
      <c r="A7" s="4" t="s">
        <v>11</v>
      </c>
      <c r="B7" s="5" t="n">
        <v>-2</v>
      </c>
      <c r="D7" s="8" t="n">
        <f aca="false">D6+$B$19</f>
        <v>0.01</v>
      </c>
      <c r="E7" s="9" t="n">
        <f aca="false">$B$5*D7^2+$B$6*D7+$B$7</f>
        <v>-1.9403</v>
      </c>
      <c r="G7" s="11" t="n">
        <f aca="false">B11</f>
        <v>0.422649730810374</v>
      </c>
      <c r="H7" s="11" t="n">
        <v>0</v>
      </c>
    </row>
    <row r="8" customFormat="false" ht="15" hidden="false" customHeight="false" outlineLevel="0" collapsed="false">
      <c r="D8" s="8" t="n">
        <f aca="false">D7+$B$19</f>
        <v>0.02</v>
      </c>
      <c r="E8" s="9" t="n">
        <f aca="false">$B$5*D8^2+$B$6*D8+$B$7</f>
        <v>-1.8812</v>
      </c>
      <c r="G8" s="11" t="n">
        <f aca="false">B12</f>
        <v>1.57735026918963</v>
      </c>
      <c r="H8" s="11" t="n">
        <v>0</v>
      </c>
    </row>
    <row r="9" customFormat="false" ht="15" hidden="false" customHeight="false" outlineLevel="0" collapsed="false">
      <c r="A9" s="3" t="s">
        <v>12</v>
      </c>
      <c r="D9" s="8" t="n">
        <f aca="false">D8+$B$19</f>
        <v>0.03</v>
      </c>
      <c r="E9" s="9" t="n">
        <f aca="false">$B$5*D9^2+$B$6*D9+$B$7</f>
        <v>-1.8227</v>
      </c>
      <c r="G9" s="11" t="n">
        <f aca="false">B15</f>
        <v>1</v>
      </c>
      <c r="I9" s="11" t="n">
        <f aca="false">B16</f>
        <v>1</v>
      </c>
    </row>
    <row r="10" customFormat="false" ht="15" hidden="false" customHeight="false" outlineLevel="0" collapsed="false">
      <c r="A10" s="4" t="s">
        <v>13</v>
      </c>
      <c r="B10" s="9" t="n">
        <f aca="false">B6^2-4*B5*B7</f>
        <v>12</v>
      </c>
      <c r="D10" s="8" t="n">
        <f aca="false">D9+$B$19</f>
        <v>0.04</v>
      </c>
      <c r="E10" s="9" t="n">
        <f aca="false">$B$5*D10^2+$B$6*D10+$B$7</f>
        <v>-1.7648</v>
      </c>
    </row>
    <row r="11" customFormat="false" ht="15" hidden="false" customHeight="false" outlineLevel="0" collapsed="false">
      <c r="A11" s="4" t="s">
        <v>14</v>
      </c>
      <c r="B11" s="12" t="n">
        <f aca="false">(-B6+SQRT(B10))/(2*B5)</f>
        <v>0.422649730810374</v>
      </c>
      <c r="D11" s="8" t="n">
        <f aca="false">D10+$B$19</f>
        <v>0.05</v>
      </c>
      <c r="E11" s="9" t="n">
        <f aca="false">$B$5*D11^2+$B$6*D11+$B$7</f>
        <v>-1.7075</v>
      </c>
    </row>
    <row r="12" customFormat="false" ht="15" hidden="false" customHeight="false" outlineLevel="0" collapsed="false">
      <c r="A12" s="4" t="s">
        <v>15</v>
      </c>
      <c r="B12" s="12" t="n">
        <f aca="false">(-B6-SQRT(B10))/(2*B5)</f>
        <v>1.57735026918963</v>
      </c>
      <c r="D12" s="8" t="n">
        <f aca="false">D11+$B$19</f>
        <v>0.06</v>
      </c>
      <c r="E12" s="9" t="n">
        <f aca="false">$B$5*D12^2+$B$6*D12+$B$7</f>
        <v>-1.6508</v>
      </c>
    </row>
    <row r="13" customFormat="false" ht="15" hidden="false" customHeight="false" outlineLevel="0" collapsed="false">
      <c r="A13" s="4" t="s">
        <v>16</v>
      </c>
      <c r="B13" s="9" t="n">
        <f aca="false">B5*B11^2+B6*B11+B7</f>
        <v>0</v>
      </c>
      <c r="D13" s="8" t="n">
        <f aca="false">D12+$B$19</f>
        <v>0.07</v>
      </c>
      <c r="E13" s="9" t="n">
        <f aca="false">$B$5*D13^2+$B$6*D13+$B$7</f>
        <v>-1.5947</v>
      </c>
    </row>
    <row r="14" customFormat="false" ht="15" hidden="false" customHeight="false" outlineLevel="0" collapsed="false">
      <c r="A14" s="4" t="s">
        <v>17</v>
      </c>
      <c r="B14" s="9" t="n">
        <f aca="false">B5*B12^2+B6*B12+B7</f>
        <v>0</v>
      </c>
      <c r="D14" s="8" t="n">
        <f aca="false">D13+$B$19</f>
        <v>0.08</v>
      </c>
      <c r="E14" s="9" t="n">
        <f aca="false">$B$5*D14^2+$B$6*D14+$B$7</f>
        <v>-1.5392</v>
      </c>
    </row>
    <row r="15" customFormat="false" ht="15" hidden="false" customHeight="false" outlineLevel="0" collapsed="false">
      <c r="A15" s="4" t="s">
        <v>18</v>
      </c>
      <c r="B15" s="12" t="n">
        <f aca="false">-B6/(2*B5)</f>
        <v>1</v>
      </c>
      <c r="D15" s="8" t="n">
        <f aca="false">D14+$B$19</f>
        <v>0.09</v>
      </c>
      <c r="E15" s="9" t="n">
        <f aca="false">$B$5*D15^2+$B$6*D15+$B$7</f>
        <v>-1.4843</v>
      </c>
    </row>
    <row r="16" customFormat="false" ht="15" hidden="false" customHeight="false" outlineLevel="0" collapsed="false">
      <c r="A16" s="4" t="s">
        <v>19</v>
      </c>
      <c r="B16" s="12" t="n">
        <f aca="false">B5*B15^2+B6*B15+B7</f>
        <v>1</v>
      </c>
      <c r="D16" s="8" t="n">
        <f aca="false">D15+$B$19</f>
        <v>0.1</v>
      </c>
      <c r="E16" s="9" t="n">
        <f aca="false">$B$5*D16^2+$B$6*D16+$B$7</f>
        <v>-1.43</v>
      </c>
    </row>
    <row r="17" customFormat="false" ht="15" hidden="false" customHeight="false" outlineLevel="0" collapsed="false">
      <c r="D17" s="8" t="n">
        <f aca="false">D16+$B$19</f>
        <v>0.11</v>
      </c>
      <c r="E17" s="9" t="n">
        <f aca="false">$B$5*D17^2+$B$6*D17+$B$7</f>
        <v>-1.3763</v>
      </c>
    </row>
    <row r="18" customFormat="false" ht="15" hidden="false" customHeight="false" outlineLevel="0" collapsed="false">
      <c r="A18" s="3" t="s">
        <v>20</v>
      </c>
      <c r="D18" s="8" t="n">
        <f aca="false">D17+$B$19</f>
        <v>0.12</v>
      </c>
      <c r="E18" s="9" t="n">
        <f aca="false">$B$5*D18^2+$B$6*D18+$B$7</f>
        <v>-1.3232</v>
      </c>
    </row>
    <row r="19" customFormat="false" ht="15" hidden="false" customHeight="false" outlineLevel="0" collapsed="false">
      <c r="A19" s="4" t="s">
        <v>21</v>
      </c>
      <c r="B19" s="5" t="n">
        <v>0.01</v>
      </c>
      <c r="D19" s="8" t="n">
        <f aca="false">D18+$B$19</f>
        <v>0.13</v>
      </c>
      <c r="E19" s="9" t="n">
        <f aca="false">$B$5*D19^2+$B$6*D19+$B$7</f>
        <v>-1.2707</v>
      </c>
    </row>
    <row r="20" customFormat="false" ht="15" hidden="false" customHeight="false" outlineLevel="0" collapsed="false">
      <c r="A20" s="4" t="s">
        <v>22</v>
      </c>
      <c r="B20" s="12" t="n">
        <f aca="false">MAX(E6:E206)</f>
        <v>1</v>
      </c>
      <c r="D20" s="8" t="n">
        <f aca="false">D19+$B$19</f>
        <v>0.14</v>
      </c>
      <c r="E20" s="9" t="n">
        <f aca="false">$B$5*D20^2+$B$6*D20+$B$7</f>
        <v>-1.2188</v>
      </c>
    </row>
    <row r="21" customFormat="false" ht="15" hidden="false" customHeight="false" outlineLevel="0" collapsed="false">
      <c r="A21" s="4" t="s">
        <v>23</v>
      </c>
      <c r="B21" s="13" t="n">
        <f aca="false">INDEX(D6:D206,MATCH(B20,E6:E206,0))</f>
        <v>1</v>
      </c>
      <c r="D21" s="8" t="n">
        <f aca="false">D20+$B$19</f>
        <v>0.15</v>
      </c>
      <c r="E21" s="9" t="n">
        <f aca="false">$B$5*D21^2+$B$6*D21+$B$7</f>
        <v>-1.1675</v>
      </c>
    </row>
    <row r="22" customFormat="false" ht="15" hidden="false" customHeight="false" outlineLevel="0" collapsed="false">
      <c r="A22" s="4" t="s">
        <v>24</v>
      </c>
      <c r="B22" s="13" t="n">
        <f aca="false">_xlfn.MINIFS(D6:D206,E6:E206,"&gt;0")</f>
        <v>0.43</v>
      </c>
      <c r="D22" s="8" t="n">
        <f aca="false">D21+$B$19</f>
        <v>0.16</v>
      </c>
      <c r="E22" s="9" t="n">
        <f aca="false">$B$5*D22^2+$B$6*D22+$B$7</f>
        <v>-1.1168</v>
      </c>
    </row>
    <row r="23" customFormat="false" ht="15" hidden="false" customHeight="false" outlineLevel="0" collapsed="false">
      <c r="A23" s="4" t="s">
        <v>25</v>
      </c>
      <c r="B23" s="13" t="n">
        <f aca="false">_xlfn.MAXIFS(D6:D206,E6:E206,"&gt;0")</f>
        <v>1.57</v>
      </c>
      <c r="D23" s="8" t="n">
        <f aca="false">D22+$B$19</f>
        <v>0.17</v>
      </c>
      <c r="E23" s="9" t="n">
        <f aca="false">$B$5*D23^2+$B$6*D23+$B$7</f>
        <v>-1.0667</v>
      </c>
    </row>
    <row r="24" customFormat="false" ht="15" hidden="false" customHeight="false" outlineLevel="0" collapsed="false">
      <c r="A24" s="4" t="s">
        <v>26</v>
      </c>
      <c r="B24" s="14" t="n">
        <f aca="false">COUNTIF(E6:E206,"&gt;0")</f>
        <v>115</v>
      </c>
      <c r="D24" s="8" t="n">
        <f aca="false">D23+$B$19</f>
        <v>0.18</v>
      </c>
      <c r="E24" s="9" t="n">
        <f aca="false">$B$5*D24^2+$B$6*D24+$B$7</f>
        <v>-1.0172</v>
      </c>
    </row>
    <row r="25" customFormat="false" ht="15" hidden="false" customHeight="false" outlineLevel="0" collapsed="false">
      <c r="D25" s="8" t="n">
        <f aca="false">D24+$B$19</f>
        <v>0.19</v>
      </c>
      <c r="E25" s="9" t="n">
        <f aca="false">$B$5*D25^2+$B$6*D25+$B$7</f>
        <v>-0.9683</v>
      </c>
    </row>
    <row r="26" customFormat="false" ht="15" hidden="false" customHeight="false" outlineLevel="0" collapsed="false">
      <c r="A26" s="3" t="s">
        <v>27</v>
      </c>
      <c r="D26" s="8" t="n">
        <f aca="false">D25+$B$19</f>
        <v>0.2</v>
      </c>
      <c r="E26" s="9" t="n">
        <f aca="false">$B$5*D26^2+$B$6*D26+$B$7</f>
        <v>-0.92</v>
      </c>
    </row>
    <row r="27" customFormat="false" ht="15" hidden="false" customHeight="false" outlineLevel="0" collapsed="false">
      <c r="A27" s="4" t="s">
        <v>28</v>
      </c>
      <c r="B27" s="15" t="str">
        <f aca="false">"["&amp;TEXT(B11,"0.000")&amp;" ; "&amp;TEXT(B12,"0.000")&amp;"]"</f>
        <v>[0.423 ; 1.577]</v>
      </c>
      <c r="D27" s="8" t="n">
        <f aca="false">D26+$B$19</f>
        <v>0.21</v>
      </c>
      <c r="E27" s="9" t="n">
        <f aca="false">$B$5*D27^2+$B$6*D27+$B$7</f>
        <v>-0.8723</v>
      </c>
    </row>
    <row r="28" customFormat="false" ht="15" hidden="false" customHeight="false" outlineLevel="0" collapsed="false">
      <c r="A28" s="4" t="s">
        <v>29</v>
      </c>
      <c r="B28" s="16" t="n">
        <f aca="false">B16</f>
        <v>1</v>
      </c>
      <c r="D28" s="8" t="n">
        <f aca="false">D27+$B$19</f>
        <v>0.22</v>
      </c>
      <c r="E28" s="9" t="n">
        <f aca="false">$B$5*D28^2+$B$6*D28+$B$7</f>
        <v>-0.8252</v>
      </c>
    </row>
    <row r="29" customFormat="false" ht="15" hidden="false" customHeight="false" outlineLevel="0" collapsed="false">
      <c r="A29" s="2" t="s">
        <v>30</v>
      </c>
      <c r="D29" s="8" t="n">
        <f aca="false">D28+$B$19</f>
        <v>0.23</v>
      </c>
      <c r="E29" s="9" t="n">
        <f aca="false">$B$5*D29^2+$B$6*D29+$B$7</f>
        <v>-0.7787</v>
      </c>
    </row>
    <row r="30" customFormat="false" ht="15" hidden="false" customHeight="false" outlineLevel="0" collapsed="false">
      <c r="A30" s="2" t="s">
        <v>31</v>
      </c>
      <c r="D30" s="8" t="n">
        <f aca="false">D29+$B$19</f>
        <v>0.24</v>
      </c>
      <c r="E30" s="9" t="n">
        <f aca="false">$B$5*D30^2+$B$6*D30+$B$7</f>
        <v>-0.7328</v>
      </c>
    </row>
    <row r="31" customFormat="false" ht="15" hidden="false" customHeight="false" outlineLevel="0" collapsed="false">
      <c r="D31" s="8" t="n">
        <f aca="false">D30+$B$19</f>
        <v>0.25</v>
      </c>
      <c r="E31" s="9" t="n">
        <f aca="false">$B$5*D31^2+$B$6*D31+$B$7</f>
        <v>-0.6875</v>
      </c>
    </row>
    <row r="32" customFormat="false" ht="15" hidden="false" customHeight="false" outlineLevel="0" collapsed="false">
      <c r="D32" s="8" t="n">
        <f aca="false">D31+$B$19</f>
        <v>0.26</v>
      </c>
      <c r="E32" s="9" t="n">
        <f aca="false">$B$5*D32^2+$B$6*D32+$B$7</f>
        <v>-0.6428</v>
      </c>
    </row>
    <row r="33" customFormat="false" ht="15" hidden="false" customHeight="false" outlineLevel="0" collapsed="false">
      <c r="D33" s="8" t="n">
        <f aca="false">D32+$B$19</f>
        <v>0.27</v>
      </c>
      <c r="E33" s="9" t="n">
        <f aca="false">$B$5*D33^2+$B$6*D33+$B$7</f>
        <v>-0.5987</v>
      </c>
    </row>
    <row r="34" customFormat="false" ht="15" hidden="false" customHeight="false" outlineLevel="0" collapsed="false">
      <c r="D34" s="8" t="n">
        <f aca="false">D33+$B$19</f>
        <v>0.28</v>
      </c>
      <c r="E34" s="9" t="n">
        <f aca="false">$B$5*D34^2+$B$6*D34+$B$7</f>
        <v>-0.5552</v>
      </c>
    </row>
    <row r="35" customFormat="false" ht="15" hidden="false" customHeight="false" outlineLevel="0" collapsed="false">
      <c r="D35" s="8" t="n">
        <f aca="false">D34+$B$19</f>
        <v>0.29</v>
      </c>
      <c r="E35" s="9" t="n">
        <f aca="false">$B$5*D35^2+$B$6*D35+$B$7</f>
        <v>-0.5123</v>
      </c>
    </row>
    <row r="36" customFormat="false" ht="15" hidden="false" customHeight="false" outlineLevel="0" collapsed="false">
      <c r="D36" s="8" t="n">
        <f aca="false">D35+$B$19</f>
        <v>0.3</v>
      </c>
      <c r="E36" s="9" t="n">
        <f aca="false">$B$5*D36^2+$B$6*D36+$B$7</f>
        <v>-0.47</v>
      </c>
    </row>
    <row r="37" customFormat="false" ht="15" hidden="false" customHeight="false" outlineLevel="0" collapsed="false">
      <c r="D37" s="8" t="n">
        <f aca="false">D36+$B$19</f>
        <v>0.31</v>
      </c>
      <c r="E37" s="9" t="n">
        <f aca="false">$B$5*D37^2+$B$6*D37+$B$7</f>
        <v>-0.428299999999999</v>
      </c>
    </row>
    <row r="38" customFormat="false" ht="15" hidden="false" customHeight="false" outlineLevel="0" collapsed="false">
      <c r="D38" s="8" t="n">
        <f aca="false">D37+$B$19</f>
        <v>0.32</v>
      </c>
      <c r="E38" s="9" t="n">
        <f aca="false">$B$5*D38^2+$B$6*D38+$B$7</f>
        <v>-0.3872</v>
      </c>
    </row>
    <row r="39" customFormat="false" ht="15" hidden="false" customHeight="false" outlineLevel="0" collapsed="false">
      <c r="D39" s="8" t="n">
        <f aca="false">D38+$B$19</f>
        <v>0.33</v>
      </c>
      <c r="E39" s="9" t="n">
        <f aca="false">$B$5*D39^2+$B$6*D39+$B$7</f>
        <v>-0.346699999999999</v>
      </c>
    </row>
    <row r="40" customFormat="false" ht="15" hidden="false" customHeight="false" outlineLevel="0" collapsed="false">
      <c r="D40" s="8" t="n">
        <f aca="false">D39+$B$19</f>
        <v>0.34</v>
      </c>
      <c r="E40" s="9" t="n">
        <f aca="false">$B$5*D40^2+$B$6*D40+$B$7</f>
        <v>-0.306799999999999</v>
      </c>
    </row>
    <row r="41" customFormat="false" ht="15" hidden="false" customHeight="false" outlineLevel="0" collapsed="false">
      <c r="D41" s="8" t="n">
        <f aca="false">D40+$B$19</f>
        <v>0.35</v>
      </c>
      <c r="E41" s="9" t="n">
        <f aca="false">$B$5*D41^2+$B$6*D41+$B$7</f>
        <v>-0.267499999999999</v>
      </c>
    </row>
    <row r="42" customFormat="false" ht="15" hidden="false" customHeight="false" outlineLevel="0" collapsed="false">
      <c r="D42" s="8" t="n">
        <f aca="false">D41+$B$19</f>
        <v>0.36</v>
      </c>
      <c r="E42" s="9" t="n">
        <f aca="false">$B$5*D42^2+$B$6*D42+$B$7</f>
        <v>-0.228799999999999</v>
      </c>
    </row>
    <row r="43" customFormat="false" ht="15" hidden="false" customHeight="false" outlineLevel="0" collapsed="false">
      <c r="D43" s="8" t="n">
        <f aca="false">D42+$B$19</f>
        <v>0.37</v>
      </c>
      <c r="E43" s="9" t="n">
        <f aca="false">$B$5*D43^2+$B$6*D43+$B$7</f>
        <v>-0.190699999999999</v>
      </c>
    </row>
    <row r="44" customFormat="false" ht="15" hidden="false" customHeight="false" outlineLevel="0" collapsed="false">
      <c r="D44" s="8" t="n">
        <f aca="false">D43+$B$19</f>
        <v>0.38</v>
      </c>
      <c r="E44" s="9" t="n">
        <f aca="false">$B$5*D44^2+$B$6*D44+$B$7</f>
        <v>-0.153199999999999</v>
      </c>
    </row>
    <row r="45" customFormat="false" ht="15" hidden="false" customHeight="false" outlineLevel="0" collapsed="false">
      <c r="D45" s="8" t="n">
        <f aca="false">D44+$B$19</f>
        <v>0.39</v>
      </c>
      <c r="E45" s="9" t="n">
        <f aca="false">$B$5*D45^2+$B$6*D45+$B$7</f>
        <v>-0.116299999999999</v>
      </c>
    </row>
    <row r="46" customFormat="false" ht="15" hidden="false" customHeight="false" outlineLevel="0" collapsed="false">
      <c r="D46" s="8" t="n">
        <f aca="false">D45+$B$19</f>
        <v>0.4</v>
      </c>
      <c r="E46" s="9" t="n">
        <f aca="false">$B$5*D46^2+$B$6*D46+$B$7</f>
        <v>-0.0799999999999992</v>
      </c>
    </row>
    <row r="47" customFormat="false" ht="15" hidden="false" customHeight="false" outlineLevel="0" collapsed="false">
      <c r="D47" s="8" t="n">
        <f aca="false">D46+$B$19</f>
        <v>0.41</v>
      </c>
      <c r="E47" s="9" t="n">
        <f aca="false">$B$5*D47^2+$B$6*D47+$B$7</f>
        <v>-0.0442999999999993</v>
      </c>
    </row>
    <row r="48" customFormat="false" ht="15" hidden="false" customHeight="false" outlineLevel="0" collapsed="false">
      <c r="D48" s="8" t="n">
        <f aca="false">D47+$B$19</f>
        <v>0.42</v>
      </c>
      <c r="E48" s="9" t="n">
        <f aca="false">$B$5*D48^2+$B$6*D48+$B$7</f>
        <v>-0.00919999999999921</v>
      </c>
    </row>
    <row r="49" customFormat="false" ht="15" hidden="false" customHeight="false" outlineLevel="0" collapsed="false">
      <c r="D49" s="8" t="n">
        <f aca="false">D48+$B$19</f>
        <v>0.43</v>
      </c>
      <c r="E49" s="9" t="n">
        <f aca="false">$B$5*D49^2+$B$6*D49+$B$7</f>
        <v>0.025300000000001</v>
      </c>
    </row>
    <row r="50" customFormat="false" ht="15" hidden="false" customHeight="false" outlineLevel="0" collapsed="false">
      <c r="D50" s="8" t="n">
        <f aca="false">D49+$B$19</f>
        <v>0.44</v>
      </c>
      <c r="E50" s="9" t="n">
        <f aca="false">$B$5*D50^2+$B$6*D50+$B$7</f>
        <v>0.059200000000001</v>
      </c>
    </row>
    <row r="51" customFormat="false" ht="15" hidden="false" customHeight="false" outlineLevel="0" collapsed="false">
      <c r="D51" s="8" t="n">
        <f aca="false">D50+$B$19</f>
        <v>0.45</v>
      </c>
      <c r="E51" s="9" t="n">
        <f aca="false">$B$5*D51^2+$B$6*D51+$B$7</f>
        <v>0.0925000000000011</v>
      </c>
    </row>
    <row r="52" customFormat="false" ht="15" hidden="false" customHeight="false" outlineLevel="0" collapsed="false">
      <c r="D52" s="8" t="n">
        <f aca="false">D51+$B$19</f>
        <v>0.46</v>
      </c>
      <c r="E52" s="9" t="n">
        <f aca="false">$B$5*D52^2+$B$6*D52+$B$7</f>
        <v>0.125200000000001</v>
      </c>
    </row>
    <row r="53" customFormat="false" ht="15" hidden="false" customHeight="false" outlineLevel="0" collapsed="false">
      <c r="D53" s="8" t="n">
        <f aca="false">D52+$B$19</f>
        <v>0.47</v>
      </c>
      <c r="E53" s="9" t="n">
        <f aca="false">$B$5*D53^2+$B$6*D53+$B$7</f>
        <v>0.157300000000001</v>
      </c>
    </row>
    <row r="54" customFormat="false" ht="15" hidden="false" customHeight="false" outlineLevel="0" collapsed="false">
      <c r="D54" s="8" t="n">
        <f aca="false">D53+$B$19</f>
        <v>0.48</v>
      </c>
      <c r="E54" s="9" t="n">
        <f aca="false">$B$5*D54^2+$B$6*D54+$B$7</f>
        <v>0.188800000000001</v>
      </c>
    </row>
    <row r="55" customFormat="false" ht="15" hidden="false" customHeight="false" outlineLevel="0" collapsed="false">
      <c r="D55" s="8" t="n">
        <f aca="false">D54+$B$19</f>
        <v>0.49</v>
      </c>
      <c r="E55" s="9" t="n">
        <f aca="false">$B$5*D55^2+$B$6*D55+$B$7</f>
        <v>0.219700000000001</v>
      </c>
    </row>
    <row r="56" customFormat="false" ht="15" hidden="false" customHeight="false" outlineLevel="0" collapsed="false">
      <c r="D56" s="8" t="n">
        <f aca="false">D55+$B$19</f>
        <v>0.5</v>
      </c>
      <c r="E56" s="9" t="n">
        <f aca="false">$B$5*D56^2+$B$6*D56+$B$7</f>
        <v>0.250000000000001</v>
      </c>
    </row>
    <row r="57" customFormat="false" ht="15" hidden="false" customHeight="false" outlineLevel="0" collapsed="false">
      <c r="D57" s="8" t="n">
        <f aca="false">D56+$B$19</f>
        <v>0.51</v>
      </c>
      <c r="E57" s="9" t="n">
        <f aca="false">$B$5*D57^2+$B$6*D57+$B$7</f>
        <v>0.279700000000001</v>
      </c>
    </row>
    <row r="58" customFormat="false" ht="15" hidden="false" customHeight="false" outlineLevel="0" collapsed="false">
      <c r="D58" s="8" t="n">
        <f aca="false">D57+$B$19</f>
        <v>0.52</v>
      </c>
      <c r="E58" s="9" t="n">
        <f aca="false">$B$5*D58^2+$B$6*D58+$B$7</f>
        <v>0.308800000000001</v>
      </c>
    </row>
    <row r="59" customFormat="false" ht="15" hidden="false" customHeight="false" outlineLevel="0" collapsed="false">
      <c r="D59" s="8" t="n">
        <f aca="false">D58+$B$19</f>
        <v>0.53</v>
      </c>
      <c r="E59" s="9" t="n">
        <f aca="false">$B$5*D59^2+$B$6*D59+$B$7</f>
        <v>0.337300000000001</v>
      </c>
    </row>
    <row r="60" customFormat="false" ht="15" hidden="false" customHeight="false" outlineLevel="0" collapsed="false">
      <c r="D60" s="8" t="n">
        <f aca="false">D59+$B$19</f>
        <v>0.54</v>
      </c>
      <c r="E60" s="9" t="n">
        <f aca="false">$B$5*D60^2+$B$6*D60+$B$7</f>
        <v>0.365200000000001</v>
      </c>
    </row>
    <row r="61" customFormat="false" ht="15" hidden="false" customHeight="false" outlineLevel="0" collapsed="false">
      <c r="D61" s="8" t="n">
        <f aca="false">D60+$B$19</f>
        <v>0.55</v>
      </c>
      <c r="E61" s="9" t="n">
        <f aca="false">$B$5*D61^2+$B$6*D61+$B$7</f>
        <v>0.392500000000001</v>
      </c>
    </row>
    <row r="62" customFormat="false" ht="15" hidden="false" customHeight="false" outlineLevel="0" collapsed="false">
      <c r="D62" s="8" t="n">
        <f aca="false">D61+$B$19</f>
        <v>0.56</v>
      </c>
      <c r="E62" s="9" t="n">
        <f aca="false">$B$5*D62^2+$B$6*D62+$B$7</f>
        <v>0.419200000000001</v>
      </c>
    </row>
    <row r="63" customFormat="false" ht="15" hidden="false" customHeight="false" outlineLevel="0" collapsed="false">
      <c r="D63" s="8" t="n">
        <f aca="false">D62+$B$19</f>
        <v>0.57</v>
      </c>
      <c r="E63" s="9" t="n">
        <f aca="false">$B$5*D63^2+$B$6*D63+$B$7</f>
        <v>0.445300000000001</v>
      </c>
    </row>
    <row r="64" customFormat="false" ht="15" hidden="false" customHeight="false" outlineLevel="0" collapsed="false">
      <c r="D64" s="8" t="n">
        <f aca="false">D63+$B$19</f>
        <v>0.58</v>
      </c>
      <c r="E64" s="9" t="n">
        <f aca="false">$B$5*D64^2+$B$6*D64+$B$7</f>
        <v>0.470800000000001</v>
      </c>
    </row>
    <row r="65" customFormat="false" ht="15" hidden="false" customHeight="false" outlineLevel="0" collapsed="false">
      <c r="D65" s="8" t="n">
        <f aca="false">D64+$B$19</f>
        <v>0.59</v>
      </c>
      <c r="E65" s="9" t="n">
        <f aca="false">$B$5*D65^2+$B$6*D65+$B$7</f>
        <v>0.495700000000001</v>
      </c>
    </row>
    <row r="66" customFormat="false" ht="15" hidden="false" customHeight="false" outlineLevel="0" collapsed="false">
      <c r="D66" s="8" t="n">
        <f aca="false">D65+$B$19</f>
        <v>0.6</v>
      </c>
      <c r="E66" s="9" t="n">
        <f aca="false">$B$5*D66^2+$B$6*D66+$B$7</f>
        <v>0.520000000000001</v>
      </c>
    </row>
    <row r="67" customFormat="false" ht="15" hidden="false" customHeight="false" outlineLevel="0" collapsed="false">
      <c r="D67" s="8" t="n">
        <f aca="false">D66+$B$19</f>
        <v>0.61</v>
      </c>
      <c r="E67" s="9" t="n">
        <f aca="false">$B$5*D67^2+$B$6*D67+$B$7</f>
        <v>0.543700000000001</v>
      </c>
    </row>
    <row r="68" customFormat="false" ht="15" hidden="false" customHeight="false" outlineLevel="0" collapsed="false">
      <c r="D68" s="8" t="n">
        <f aca="false">D67+$B$19</f>
        <v>0.62</v>
      </c>
      <c r="E68" s="9" t="n">
        <f aca="false">$B$5*D68^2+$B$6*D68+$B$7</f>
        <v>0.566800000000001</v>
      </c>
    </row>
    <row r="69" customFormat="false" ht="15" hidden="false" customHeight="false" outlineLevel="0" collapsed="false">
      <c r="D69" s="8" t="n">
        <f aca="false">D68+$B$19</f>
        <v>0.63</v>
      </c>
      <c r="E69" s="9" t="n">
        <f aca="false">$B$5*D69^2+$B$6*D69+$B$7</f>
        <v>0.589300000000001</v>
      </c>
    </row>
    <row r="70" customFormat="false" ht="15" hidden="false" customHeight="false" outlineLevel="0" collapsed="false">
      <c r="D70" s="8" t="n">
        <f aca="false">D69+$B$19</f>
        <v>0.64</v>
      </c>
      <c r="E70" s="9" t="n">
        <f aca="false">$B$5*D70^2+$B$6*D70+$B$7</f>
        <v>0.611200000000001</v>
      </c>
    </row>
    <row r="71" customFormat="false" ht="15" hidden="false" customHeight="false" outlineLevel="0" collapsed="false">
      <c r="D71" s="8" t="n">
        <f aca="false">D70+$B$19</f>
        <v>0.65</v>
      </c>
      <c r="E71" s="9" t="n">
        <f aca="false">$B$5*D71^2+$B$6*D71+$B$7</f>
        <v>0.632500000000001</v>
      </c>
    </row>
    <row r="72" customFormat="false" ht="15" hidden="false" customHeight="false" outlineLevel="0" collapsed="false">
      <c r="D72" s="8" t="n">
        <f aca="false">D71+$B$19</f>
        <v>0.66</v>
      </c>
      <c r="E72" s="9" t="n">
        <f aca="false">$B$5*D72^2+$B$6*D72+$B$7</f>
        <v>0.653200000000001</v>
      </c>
    </row>
    <row r="73" customFormat="false" ht="15" hidden="false" customHeight="false" outlineLevel="0" collapsed="false">
      <c r="D73" s="8" t="n">
        <f aca="false">D72+$B$19</f>
        <v>0.67</v>
      </c>
      <c r="E73" s="9" t="n">
        <f aca="false">$B$5*D73^2+$B$6*D73+$B$7</f>
        <v>0.673300000000001</v>
      </c>
    </row>
    <row r="74" customFormat="false" ht="15" hidden="false" customHeight="false" outlineLevel="0" collapsed="false">
      <c r="D74" s="8" t="n">
        <f aca="false">D73+$B$19</f>
        <v>0.68</v>
      </c>
      <c r="E74" s="9" t="n">
        <f aca="false">$B$5*D74^2+$B$6*D74+$B$7</f>
        <v>0.6928</v>
      </c>
    </row>
    <row r="75" customFormat="false" ht="15" hidden="false" customHeight="false" outlineLevel="0" collapsed="false">
      <c r="D75" s="8" t="n">
        <f aca="false">D74+$B$19</f>
        <v>0.69</v>
      </c>
      <c r="E75" s="9" t="n">
        <f aca="false">$B$5*D75^2+$B$6*D75+$B$7</f>
        <v>0.711700000000001</v>
      </c>
    </row>
    <row r="76" customFormat="false" ht="15" hidden="false" customHeight="false" outlineLevel="0" collapsed="false">
      <c r="D76" s="8" t="n">
        <f aca="false">D75+$B$19</f>
        <v>0.7</v>
      </c>
      <c r="E76" s="9" t="n">
        <f aca="false">$B$5*D76^2+$B$6*D76+$B$7</f>
        <v>0.730000000000001</v>
      </c>
    </row>
    <row r="77" customFormat="false" ht="15" hidden="false" customHeight="false" outlineLevel="0" collapsed="false">
      <c r="D77" s="8" t="n">
        <f aca="false">D76+$B$19</f>
        <v>0.71</v>
      </c>
      <c r="E77" s="9" t="n">
        <f aca="false">$B$5*D77^2+$B$6*D77+$B$7</f>
        <v>0.747700000000001</v>
      </c>
    </row>
    <row r="78" customFormat="false" ht="15" hidden="false" customHeight="false" outlineLevel="0" collapsed="false">
      <c r="D78" s="8" t="n">
        <f aca="false">D77+$B$19</f>
        <v>0.72</v>
      </c>
      <c r="E78" s="9" t="n">
        <f aca="false">$B$5*D78^2+$B$6*D78+$B$7</f>
        <v>0.7648</v>
      </c>
    </row>
    <row r="79" customFormat="false" ht="15" hidden="false" customHeight="false" outlineLevel="0" collapsed="false">
      <c r="D79" s="8" t="n">
        <f aca="false">D78+$B$19</f>
        <v>0.73</v>
      </c>
      <c r="E79" s="9" t="n">
        <f aca="false">$B$5*D79^2+$B$6*D79+$B$7</f>
        <v>0.781300000000001</v>
      </c>
    </row>
    <row r="80" customFormat="false" ht="15" hidden="false" customHeight="false" outlineLevel="0" collapsed="false">
      <c r="D80" s="8" t="n">
        <f aca="false">D79+$B$19</f>
        <v>0.74</v>
      </c>
      <c r="E80" s="9" t="n">
        <f aca="false">$B$5*D80^2+$B$6*D80+$B$7</f>
        <v>0.797200000000001</v>
      </c>
    </row>
    <row r="81" customFormat="false" ht="15" hidden="false" customHeight="false" outlineLevel="0" collapsed="false">
      <c r="D81" s="8" t="n">
        <f aca="false">D80+$B$19</f>
        <v>0.75</v>
      </c>
      <c r="E81" s="9" t="n">
        <f aca="false">$B$5*D81^2+$B$6*D81+$B$7</f>
        <v>0.812500000000001</v>
      </c>
    </row>
    <row r="82" customFormat="false" ht="15" hidden="false" customHeight="false" outlineLevel="0" collapsed="false">
      <c r="D82" s="8" t="n">
        <f aca="false">D81+$B$19</f>
        <v>0.760000000000001</v>
      </c>
      <c r="E82" s="9" t="n">
        <f aca="false">$B$5*D82^2+$B$6*D82+$B$7</f>
        <v>0.8272</v>
      </c>
    </row>
    <row r="83" customFormat="false" ht="15" hidden="false" customHeight="false" outlineLevel="0" collapsed="false">
      <c r="D83" s="8" t="n">
        <f aca="false">D82+$B$19</f>
        <v>0.770000000000001</v>
      </c>
      <c r="E83" s="9" t="n">
        <f aca="false">$B$5*D83^2+$B$6*D83+$B$7</f>
        <v>0.8413</v>
      </c>
    </row>
    <row r="84" customFormat="false" ht="15" hidden="false" customHeight="false" outlineLevel="0" collapsed="false">
      <c r="D84" s="8" t="n">
        <f aca="false">D83+$B$19</f>
        <v>0.780000000000001</v>
      </c>
      <c r="E84" s="9" t="n">
        <f aca="false">$B$5*D84^2+$B$6*D84+$B$7</f>
        <v>0.854800000000001</v>
      </c>
    </row>
    <row r="85" customFormat="false" ht="15" hidden="false" customHeight="false" outlineLevel="0" collapsed="false">
      <c r="D85" s="8" t="n">
        <f aca="false">D84+$B$19</f>
        <v>0.790000000000001</v>
      </c>
      <c r="E85" s="9" t="n">
        <f aca="false">$B$5*D85^2+$B$6*D85+$B$7</f>
        <v>0.867700000000001</v>
      </c>
    </row>
    <row r="86" customFormat="false" ht="15" hidden="false" customHeight="false" outlineLevel="0" collapsed="false">
      <c r="D86" s="8" t="n">
        <f aca="false">D85+$B$19</f>
        <v>0.800000000000001</v>
      </c>
      <c r="E86" s="9" t="n">
        <f aca="false">$B$5*D86^2+$B$6*D86+$B$7</f>
        <v>0.88</v>
      </c>
    </row>
    <row r="87" customFormat="false" ht="15" hidden="false" customHeight="false" outlineLevel="0" collapsed="false">
      <c r="D87" s="8" t="n">
        <f aca="false">D86+$B$19</f>
        <v>0.810000000000001</v>
      </c>
      <c r="E87" s="9" t="n">
        <f aca="false">$B$5*D87^2+$B$6*D87+$B$7</f>
        <v>0.891700000000001</v>
      </c>
    </row>
    <row r="88" customFormat="false" ht="15" hidden="false" customHeight="false" outlineLevel="0" collapsed="false">
      <c r="D88" s="8" t="n">
        <f aca="false">D87+$B$19</f>
        <v>0.820000000000001</v>
      </c>
      <c r="E88" s="9" t="n">
        <f aca="false">$B$5*D88^2+$B$6*D88+$B$7</f>
        <v>0.902800000000001</v>
      </c>
    </row>
    <row r="89" customFormat="false" ht="15" hidden="false" customHeight="false" outlineLevel="0" collapsed="false">
      <c r="D89" s="8" t="n">
        <f aca="false">D88+$B$19</f>
        <v>0.830000000000001</v>
      </c>
      <c r="E89" s="9" t="n">
        <f aca="false">$B$5*D89^2+$B$6*D89+$B$7</f>
        <v>0.9133</v>
      </c>
    </row>
    <row r="90" customFormat="false" ht="15" hidden="false" customHeight="false" outlineLevel="0" collapsed="false">
      <c r="D90" s="8" t="n">
        <f aca="false">D89+$B$19</f>
        <v>0.840000000000001</v>
      </c>
      <c r="E90" s="9" t="n">
        <f aca="false">$B$5*D90^2+$B$6*D90+$B$7</f>
        <v>0.9232</v>
      </c>
    </row>
    <row r="91" customFormat="false" ht="15" hidden="false" customHeight="false" outlineLevel="0" collapsed="false">
      <c r="D91" s="8" t="n">
        <f aca="false">D90+$B$19</f>
        <v>0.850000000000001</v>
      </c>
      <c r="E91" s="9" t="n">
        <f aca="false">$B$5*D91^2+$B$6*D91+$B$7</f>
        <v>0.932500000000001</v>
      </c>
    </row>
    <row r="92" customFormat="false" ht="15" hidden="false" customHeight="false" outlineLevel="0" collapsed="false">
      <c r="D92" s="8" t="n">
        <f aca="false">D91+$B$19</f>
        <v>0.860000000000001</v>
      </c>
      <c r="E92" s="9" t="n">
        <f aca="false">$B$5*D92^2+$B$6*D92+$B$7</f>
        <v>0.941200000000001</v>
      </c>
    </row>
    <row r="93" customFormat="false" ht="15" hidden="false" customHeight="false" outlineLevel="0" collapsed="false">
      <c r="D93" s="8" t="n">
        <f aca="false">D92+$B$19</f>
        <v>0.870000000000001</v>
      </c>
      <c r="E93" s="9" t="n">
        <f aca="false">$B$5*D93^2+$B$6*D93+$B$7</f>
        <v>0.949300000000001</v>
      </c>
    </row>
    <row r="94" customFormat="false" ht="15" hidden="false" customHeight="false" outlineLevel="0" collapsed="false">
      <c r="D94" s="8" t="n">
        <f aca="false">D93+$B$19</f>
        <v>0.880000000000001</v>
      </c>
      <c r="E94" s="9" t="n">
        <f aca="false">$B$5*D94^2+$B$6*D94+$B$7</f>
        <v>0.9568</v>
      </c>
    </row>
    <row r="95" customFormat="false" ht="15" hidden="false" customHeight="false" outlineLevel="0" collapsed="false">
      <c r="D95" s="8" t="n">
        <f aca="false">D94+$B$19</f>
        <v>0.890000000000001</v>
      </c>
      <c r="E95" s="9" t="n">
        <f aca="false">$B$5*D95^2+$B$6*D95+$B$7</f>
        <v>0.9637</v>
      </c>
    </row>
    <row r="96" customFormat="false" ht="15" hidden="false" customHeight="false" outlineLevel="0" collapsed="false">
      <c r="D96" s="8" t="n">
        <f aca="false">D95+$B$19</f>
        <v>0.900000000000001</v>
      </c>
      <c r="E96" s="9" t="n">
        <f aca="false">$B$5*D96^2+$B$6*D96+$B$7</f>
        <v>0.970000000000001</v>
      </c>
    </row>
    <row r="97" customFormat="false" ht="15" hidden="false" customHeight="false" outlineLevel="0" collapsed="false">
      <c r="D97" s="8" t="n">
        <f aca="false">D96+$B$19</f>
        <v>0.910000000000001</v>
      </c>
      <c r="E97" s="9" t="n">
        <f aca="false">$B$5*D97^2+$B$6*D97+$B$7</f>
        <v>0.9757</v>
      </c>
    </row>
    <row r="98" customFormat="false" ht="15" hidden="false" customHeight="false" outlineLevel="0" collapsed="false">
      <c r="D98" s="8" t="n">
        <f aca="false">D97+$B$19</f>
        <v>0.920000000000001</v>
      </c>
      <c r="E98" s="9" t="n">
        <f aca="false">$B$5*D98^2+$B$6*D98+$B$7</f>
        <v>0.9808</v>
      </c>
    </row>
    <row r="99" customFormat="false" ht="15" hidden="false" customHeight="false" outlineLevel="0" collapsed="false">
      <c r="D99" s="8" t="n">
        <f aca="false">D98+$B$19</f>
        <v>0.930000000000001</v>
      </c>
      <c r="E99" s="9" t="n">
        <f aca="false">$B$5*D99^2+$B$6*D99+$B$7</f>
        <v>0.985300000000001</v>
      </c>
    </row>
    <row r="100" customFormat="false" ht="15" hidden="false" customHeight="false" outlineLevel="0" collapsed="false">
      <c r="D100" s="8" t="n">
        <f aca="false">D99+$B$19</f>
        <v>0.940000000000001</v>
      </c>
      <c r="E100" s="9" t="n">
        <f aca="false">$B$5*D100^2+$B$6*D100+$B$7</f>
        <v>0.989200000000001</v>
      </c>
    </row>
    <row r="101" customFormat="false" ht="15" hidden="false" customHeight="false" outlineLevel="0" collapsed="false">
      <c r="D101" s="8" t="n">
        <f aca="false">D100+$B$19</f>
        <v>0.950000000000001</v>
      </c>
      <c r="E101" s="9" t="n">
        <f aca="false">$B$5*D101^2+$B$6*D101+$B$7</f>
        <v>0.9925</v>
      </c>
    </row>
    <row r="102" customFormat="false" ht="15" hidden="false" customHeight="false" outlineLevel="0" collapsed="false">
      <c r="D102" s="8" t="n">
        <f aca="false">D101+$B$19</f>
        <v>0.960000000000001</v>
      </c>
      <c r="E102" s="9" t="n">
        <f aca="false">$B$5*D102^2+$B$6*D102+$B$7</f>
        <v>0.9952</v>
      </c>
    </row>
    <row r="103" customFormat="false" ht="15" hidden="false" customHeight="false" outlineLevel="0" collapsed="false">
      <c r="D103" s="8" t="n">
        <f aca="false">D102+$B$19</f>
        <v>0.970000000000001</v>
      </c>
      <c r="E103" s="9" t="n">
        <f aca="false">$B$5*D103^2+$B$6*D103+$B$7</f>
        <v>0.9973</v>
      </c>
    </row>
    <row r="104" customFormat="false" ht="15" hidden="false" customHeight="false" outlineLevel="0" collapsed="false">
      <c r="D104" s="8" t="n">
        <f aca="false">D103+$B$19</f>
        <v>0.980000000000001</v>
      </c>
      <c r="E104" s="9" t="n">
        <f aca="false">$B$5*D104^2+$B$6*D104+$B$7</f>
        <v>0.998800000000001</v>
      </c>
    </row>
    <row r="105" customFormat="false" ht="15" hidden="false" customHeight="false" outlineLevel="0" collapsed="false">
      <c r="D105" s="8" t="n">
        <f aca="false">D104+$B$19</f>
        <v>0.990000000000001</v>
      </c>
      <c r="E105" s="9" t="n">
        <f aca="false">$B$5*D105^2+$B$6*D105+$B$7</f>
        <v>0.9997</v>
      </c>
    </row>
    <row r="106" customFormat="false" ht="15" hidden="false" customHeight="false" outlineLevel="0" collapsed="false">
      <c r="D106" s="8" t="n">
        <f aca="false">D105+$B$19</f>
        <v>1</v>
      </c>
      <c r="E106" s="9" t="n">
        <f aca="false">$B$5*D106^2+$B$6*D106+$B$7</f>
        <v>1</v>
      </c>
    </row>
    <row r="107" customFormat="false" ht="15" hidden="false" customHeight="false" outlineLevel="0" collapsed="false">
      <c r="D107" s="8" t="n">
        <f aca="false">D106+$B$19</f>
        <v>1.01</v>
      </c>
      <c r="E107" s="9" t="n">
        <f aca="false">$B$5*D107^2+$B$6*D107+$B$7</f>
        <v>0.9997</v>
      </c>
    </row>
    <row r="108" customFormat="false" ht="15" hidden="false" customHeight="false" outlineLevel="0" collapsed="false">
      <c r="D108" s="8" t="n">
        <f aca="false">D107+$B$19</f>
        <v>1.02</v>
      </c>
      <c r="E108" s="9" t="n">
        <f aca="false">$B$5*D108^2+$B$6*D108+$B$7</f>
        <v>0.998800000000001</v>
      </c>
    </row>
    <row r="109" customFormat="false" ht="15" hidden="false" customHeight="false" outlineLevel="0" collapsed="false">
      <c r="D109" s="8" t="n">
        <f aca="false">D108+$B$19</f>
        <v>1.03</v>
      </c>
      <c r="E109" s="9" t="n">
        <f aca="false">$B$5*D109^2+$B$6*D109+$B$7</f>
        <v>0.9973</v>
      </c>
    </row>
    <row r="110" customFormat="false" ht="15" hidden="false" customHeight="false" outlineLevel="0" collapsed="false">
      <c r="D110" s="8" t="n">
        <f aca="false">D109+$B$19</f>
        <v>1.04</v>
      </c>
      <c r="E110" s="9" t="n">
        <f aca="false">$B$5*D110^2+$B$6*D110+$B$7</f>
        <v>0.9952</v>
      </c>
    </row>
    <row r="111" customFormat="false" ht="15" hidden="false" customHeight="false" outlineLevel="0" collapsed="false">
      <c r="D111" s="8" t="n">
        <f aca="false">D110+$B$19</f>
        <v>1.05</v>
      </c>
      <c r="E111" s="9" t="n">
        <f aca="false">$B$5*D111^2+$B$6*D111+$B$7</f>
        <v>0.9925</v>
      </c>
    </row>
    <row r="112" customFormat="false" ht="15" hidden="false" customHeight="false" outlineLevel="0" collapsed="false">
      <c r="D112" s="8" t="n">
        <f aca="false">D111+$B$19</f>
        <v>1.06</v>
      </c>
      <c r="E112" s="9" t="n">
        <f aca="false">$B$5*D112^2+$B$6*D112+$B$7</f>
        <v>0.9892</v>
      </c>
    </row>
    <row r="113" customFormat="false" ht="15" hidden="false" customHeight="false" outlineLevel="0" collapsed="false">
      <c r="D113" s="8" t="n">
        <f aca="false">D112+$B$19</f>
        <v>1.07</v>
      </c>
      <c r="E113" s="9" t="n">
        <f aca="false">$B$5*D113^2+$B$6*D113+$B$7</f>
        <v>0.9853</v>
      </c>
    </row>
    <row r="114" customFormat="false" ht="15" hidden="false" customHeight="false" outlineLevel="0" collapsed="false">
      <c r="D114" s="8" t="n">
        <f aca="false">D113+$B$19</f>
        <v>1.08</v>
      </c>
      <c r="E114" s="9" t="n">
        <f aca="false">$B$5*D114^2+$B$6*D114+$B$7</f>
        <v>0.980799999999999</v>
      </c>
    </row>
    <row r="115" customFormat="false" ht="15" hidden="false" customHeight="false" outlineLevel="0" collapsed="false">
      <c r="D115" s="8" t="n">
        <f aca="false">D114+$B$19</f>
        <v>1.09</v>
      </c>
      <c r="E115" s="9" t="n">
        <f aca="false">$B$5*D115^2+$B$6*D115+$B$7</f>
        <v>0.975699999999999</v>
      </c>
    </row>
    <row r="116" customFormat="false" ht="15" hidden="false" customHeight="false" outlineLevel="0" collapsed="false">
      <c r="D116" s="8" t="n">
        <f aca="false">D115+$B$19</f>
        <v>1.1</v>
      </c>
      <c r="E116" s="9" t="n">
        <f aca="false">$B$5*D116^2+$B$6*D116+$B$7</f>
        <v>0.97</v>
      </c>
    </row>
    <row r="117" customFormat="false" ht="15" hidden="false" customHeight="false" outlineLevel="0" collapsed="false">
      <c r="D117" s="8" t="n">
        <f aca="false">D116+$B$19</f>
        <v>1.11</v>
      </c>
      <c r="E117" s="9" t="n">
        <f aca="false">$B$5*D117^2+$B$6*D117+$B$7</f>
        <v>0.963699999999999</v>
      </c>
    </row>
    <row r="118" customFormat="false" ht="15" hidden="false" customHeight="false" outlineLevel="0" collapsed="false">
      <c r="D118" s="8" t="n">
        <f aca="false">D117+$B$19</f>
        <v>1.12</v>
      </c>
      <c r="E118" s="9" t="n">
        <f aca="false">$B$5*D118^2+$B$6*D118+$B$7</f>
        <v>0.956799999999999</v>
      </c>
    </row>
    <row r="119" customFormat="false" ht="15" hidden="false" customHeight="false" outlineLevel="0" collapsed="false">
      <c r="D119" s="8" t="n">
        <f aca="false">D118+$B$19</f>
        <v>1.13</v>
      </c>
      <c r="E119" s="9" t="n">
        <f aca="false">$B$5*D119^2+$B$6*D119+$B$7</f>
        <v>0.9493</v>
      </c>
    </row>
    <row r="120" customFormat="false" ht="15" hidden="false" customHeight="false" outlineLevel="0" collapsed="false">
      <c r="D120" s="8" t="n">
        <f aca="false">D119+$B$19</f>
        <v>1.14</v>
      </c>
      <c r="E120" s="9" t="n">
        <f aca="false">$B$5*D120^2+$B$6*D120+$B$7</f>
        <v>0.941199999999999</v>
      </c>
    </row>
    <row r="121" customFormat="false" ht="15" hidden="false" customHeight="false" outlineLevel="0" collapsed="false">
      <c r="D121" s="8" t="n">
        <f aca="false">D120+$B$19</f>
        <v>1.15</v>
      </c>
      <c r="E121" s="9" t="n">
        <f aca="false">$B$5*D121^2+$B$6*D121+$B$7</f>
        <v>0.932499999999999</v>
      </c>
    </row>
    <row r="122" customFormat="false" ht="15" hidden="false" customHeight="false" outlineLevel="0" collapsed="false">
      <c r="D122" s="8" t="n">
        <f aca="false">D121+$B$19</f>
        <v>1.16</v>
      </c>
      <c r="E122" s="9" t="n">
        <f aca="false">$B$5*D122^2+$B$6*D122+$B$7</f>
        <v>0.923199999999999</v>
      </c>
    </row>
    <row r="123" customFormat="false" ht="15" hidden="false" customHeight="false" outlineLevel="0" collapsed="false">
      <c r="D123" s="8" t="n">
        <f aca="false">D122+$B$19</f>
        <v>1.17</v>
      </c>
      <c r="E123" s="9" t="n">
        <f aca="false">$B$5*D123^2+$B$6*D123+$B$7</f>
        <v>0.913299999999999</v>
      </c>
    </row>
    <row r="124" customFormat="false" ht="15" hidden="false" customHeight="false" outlineLevel="0" collapsed="false">
      <c r="D124" s="8" t="n">
        <f aca="false">D123+$B$19</f>
        <v>1.18</v>
      </c>
      <c r="E124" s="9" t="n">
        <f aca="false">$B$5*D124^2+$B$6*D124+$B$7</f>
        <v>0.9028</v>
      </c>
    </row>
    <row r="125" customFormat="false" ht="15" hidden="false" customHeight="false" outlineLevel="0" collapsed="false">
      <c r="D125" s="8" t="n">
        <f aca="false">D124+$B$19</f>
        <v>1.19</v>
      </c>
      <c r="E125" s="9" t="n">
        <f aca="false">$B$5*D125^2+$B$6*D125+$B$7</f>
        <v>0.891699999999999</v>
      </c>
    </row>
    <row r="126" customFormat="false" ht="15" hidden="false" customHeight="false" outlineLevel="0" collapsed="false">
      <c r="D126" s="8" t="n">
        <f aca="false">D125+$B$19</f>
        <v>1.2</v>
      </c>
      <c r="E126" s="9" t="n">
        <f aca="false">$B$5*D126^2+$B$6*D126+$B$7</f>
        <v>0.879999999999999</v>
      </c>
    </row>
    <row r="127" customFormat="false" ht="15" hidden="false" customHeight="false" outlineLevel="0" collapsed="false">
      <c r="D127" s="8" t="n">
        <f aca="false">D126+$B$19</f>
        <v>1.21</v>
      </c>
      <c r="E127" s="9" t="n">
        <f aca="false">$B$5*D127^2+$B$6*D127+$B$7</f>
        <v>0.867699999999999</v>
      </c>
    </row>
    <row r="128" customFormat="false" ht="15" hidden="false" customHeight="false" outlineLevel="0" collapsed="false">
      <c r="D128" s="8" t="n">
        <f aca="false">D127+$B$19</f>
        <v>1.22</v>
      </c>
      <c r="E128" s="9" t="n">
        <f aca="false">$B$5*D128^2+$B$6*D128+$B$7</f>
        <v>0.854799999999999</v>
      </c>
    </row>
    <row r="129" customFormat="false" ht="15" hidden="false" customHeight="false" outlineLevel="0" collapsed="false">
      <c r="D129" s="8" t="n">
        <f aca="false">D128+$B$19</f>
        <v>1.23</v>
      </c>
      <c r="E129" s="9" t="n">
        <f aca="false">$B$5*D129^2+$B$6*D129+$B$7</f>
        <v>0.841299999999999</v>
      </c>
    </row>
    <row r="130" customFormat="false" ht="15" hidden="false" customHeight="false" outlineLevel="0" collapsed="false">
      <c r="D130" s="8" t="n">
        <f aca="false">D129+$B$19</f>
        <v>1.24</v>
      </c>
      <c r="E130" s="9" t="n">
        <f aca="false">$B$5*D130^2+$B$6*D130+$B$7</f>
        <v>0.827199999999999</v>
      </c>
    </row>
    <row r="131" customFormat="false" ht="15" hidden="false" customHeight="false" outlineLevel="0" collapsed="false">
      <c r="D131" s="8" t="n">
        <f aca="false">D130+$B$19</f>
        <v>1.25</v>
      </c>
      <c r="E131" s="9" t="n">
        <f aca="false">$B$5*D131^2+$B$6*D131+$B$7</f>
        <v>0.812499999999998</v>
      </c>
    </row>
    <row r="132" customFormat="false" ht="15" hidden="false" customHeight="false" outlineLevel="0" collapsed="false">
      <c r="D132" s="8" t="n">
        <f aca="false">D131+$B$19</f>
        <v>1.26</v>
      </c>
      <c r="E132" s="9" t="n">
        <f aca="false">$B$5*D132^2+$B$6*D132+$B$7</f>
        <v>0.797199999999998</v>
      </c>
    </row>
    <row r="133" customFormat="false" ht="15" hidden="false" customHeight="false" outlineLevel="0" collapsed="false">
      <c r="D133" s="8" t="n">
        <f aca="false">D132+$B$19</f>
        <v>1.27</v>
      </c>
      <c r="E133" s="9" t="n">
        <f aca="false">$B$5*D133^2+$B$6*D133+$B$7</f>
        <v>0.781299999999999</v>
      </c>
    </row>
    <row r="134" customFormat="false" ht="15" hidden="false" customHeight="false" outlineLevel="0" collapsed="false">
      <c r="D134" s="8" t="n">
        <f aca="false">D133+$B$19</f>
        <v>1.28</v>
      </c>
      <c r="E134" s="9" t="n">
        <f aca="false">$B$5*D134^2+$B$6*D134+$B$7</f>
        <v>0.764799999999998</v>
      </c>
    </row>
    <row r="135" customFormat="false" ht="15" hidden="false" customHeight="false" outlineLevel="0" collapsed="false">
      <c r="D135" s="8" t="n">
        <f aca="false">D134+$B$19</f>
        <v>1.29</v>
      </c>
      <c r="E135" s="9" t="n">
        <f aca="false">$B$5*D135^2+$B$6*D135+$B$7</f>
        <v>0.747699999999998</v>
      </c>
    </row>
    <row r="136" customFormat="false" ht="15" hidden="false" customHeight="false" outlineLevel="0" collapsed="false">
      <c r="D136" s="8" t="n">
        <f aca="false">D135+$B$19</f>
        <v>1.3</v>
      </c>
      <c r="E136" s="9" t="n">
        <f aca="false">$B$5*D136^2+$B$6*D136+$B$7</f>
        <v>0.729999999999999</v>
      </c>
    </row>
    <row r="137" customFormat="false" ht="15" hidden="false" customHeight="false" outlineLevel="0" collapsed="false">
      <c r="D137" s="8" t="n">
        <f aca="false">D136+$B$19</f>
        <v>1.31</v>
      </c>
      <c r="E137" s="9" t="n">
        <f aca="false">$B$5*D137^2+$B$6*D137+$B$7</f>
        <v>0.711699999999999</v>
      </c>
    </row>
    <row r="138" customFormat="false" ht="15" hidden="false" customHeight="false" outlineLevel="0" collapsed="false">
      <c r="D138" s="8" t="n">
        <f aca="false">D137+$B$19</f>
        <v>1.32</v>
      </c>
      <c r="E138" s="9" t="n">
        <f aca="false">$B$5*D138^2+$B$6*D138+$B$7</f>
        <v>0.692799999999997</v>
      </c>
    </row>
    <row r="139" customFormat="false" ht="15" hidden="false" customHeight="false" outlineLevel="0" collapsed="false">
      <c r="D139" s="8" t="n">
        <f aca="false">D138+$B$19</f>
        <v>1.33</v>
      </c>
      <c r="E139" s="9" t="n">
        <f aca="false">$B$5*D139^2+$B$6*D139+$B$7</f>
        <v>0.673299999999998</v>
      </c>
    </row>
    <row r="140" customFormat="false" ht="15" hidden="false" customHeight="false" outlineLevel="0" collapsed="false">
      <c r="D140" s="8" t="n">
        <f aca="false">D139+$B$19</f>
        <v>1.34</v>
      </c>
      <c r="E140" s="9" t="n">
        <f aca="false">$B$5*D140^2+$B$6*D140+$B$7</f>
        <v>0.653199999999998</v>
      </c>
    </row>
    <row r="141" customFormat="false" ht="15" hidden="false" customHeight="false" outlineLevel="0" collapsed="false">
      <c r="D141" s="8" t="n">
        <f aca="false">D140+$B$19</f>
        <v>1.35</v>
      </c>
      <c r="E141" s="9" t="n">
        <f aca="false">$B$5*D141^2+$B$6*D141+$B$7</f>
        <v>0.632499999999997</v>
      </c>
    </row>
    <row r="142" customFormat="false" ht="15" hidden="false" customHeight="false" outlineLevel="0" collapsed="false">
      <c r="D142" s="8" t="n">
        <f aca="false">D141+$B$19</f>
        <v>1.36</v>
      </c>
      <c r="E142" s="9" t="n">
        <f aca="false">$B$5*D142^2+$B$6*D142+$B$7</f>
        <v>0.611199999999998</v>
      </c>
    </row>
    <row r="143" customFormat="false" ht="15" hidden="false" customHeight="false" outlineLevel="0" collapsed="false">
      <c r="D143" s="8" t="n">
        <f aca="false">D142+$B$19</f>
        <v>1.37</v>
      </c>
      <c r="E143" s="9" t="n">
        <f aca="false">$B$5*D143^2+$B$6*D143+$B$7</f>
        <v>0.589299999999998</v>
      </c>
    </row>
    <row r="144" customFormat="false" ht="15" hidden="false" customHeight="false" outlineLevel="0" collapsed="false">
      <c r="D144" s="8" t="n">
        <f aca="false">D143+$B$19</f>
        <v>1.38</v>
      </c>
      <c r="E144" s="9" t="n">
        <f aca="false">$B$5*D144^2+$B$6*D144+$B$7</f>
        <v>0.566799999999998</v>
      </c>
    </row>
    <row r="145" customFormat="false" ht="15" hidden="false" customHeight="false" outlineLevel="0" collapsed="false">
      <c r="D145" s="8" t="n">
        <f aca="false">D144+$B$19</f>
        <v>1.39</v>
      </c>
      <c r="E145" s="9" t="n">
        <f aca="false">$B$5*D145^2+$B$6*D145+$B$7</f>
        <v>0.543699999999999</v>
      </c>
    </row>
    <row r="146" customFormat="false" ht="15" hidden="false" customHeight="false" outlineLevel="0" collapsed="false">
      <c r="D146" s="8" t="n">
        <f aca="false">D145+$B$19</f>
        <v>1.4</v>
      </c>
      <c r="E146" s="9" t="n">
        <f aca="false">$B$5*D146^2+$B$6*D146+$B$7</f>
        <v>0.519999999999997</v>
      </c>
    </row>
    <row r="147" customFormat="false" ht="15" hidden="false" customHeight="false" outlineLevel="0" collapsed="false">
      <c r="D147" s="8" t="n">
        <f aca="false">D146+$B$19</f>
        <v>1.41</v>
      </c>
      <c r="E147" s="9" t="n">
        <f aca="false">$B$5*D147^2+$B$6*D147+$B$7</f>
        <v>0.495699999999998</v>
      </c>
    </row>
    <row r="148" customFormat="false" ht="15" hidden="false" customHeight="false" outlineLevel="0" collapsed="false">
      <c r="D148" s="8" t="n">
        <f aca="false">D147+$B$19</f>
        <v>1.42</v>
      </c>
      <c r="E148" s="9" t="n">
        <f aca="false">$B$5*D148^2+$B$6*D148+$B$7</f>
        <v>0.470799999999997</v>
      </c>
    </row>
    <row r="149" customFormat="false" ht="15" hidden="false" customHeight="false" outlineLevel="0" collapsed="false">
      <c r="D149" s="8" t="n">
        <f aca="false">D148+$B$19</f>
        <v>1.43</v>
      </c>
      <c r="E149" s="9" t="n">
        <f aca="false">$B$5*D149^2+$B$6*D149+$B$7</f>
        <v>0.445299999999997</v>
      </c>
    </row>
    <row r="150" customFormat="false" ht="15" hidden="false" customHeight="false" outlineLevel="0" collapsed="false">
      <c r="D150" s="8" t="n">
        <f aca="false">D149+$B$19</f>
        <v>1.44</v>
      </c>
      <c r="E150" s="9" t="n">
        <f aca="false">$B$5*D150^2+$B$6*D150+$B$7</f>
        <v>0.419199999999996</v>
      </c>
    </row>
    <row r="151" customFormat="false" ht="15" hidden="false" customHeight="false" outlineLevel="0" collapsed="false">
      <c r="D151" s="8" t="n">
        <f aca="false">D150+$B$19</f>
        <v>1.45</v>
      </c>
      <c r="E151" s="9" t="n">
        <f aca="false">$B$5*D151^2+$B$6*D151+$B$7</f>
        <v>0.392499999999997</v>
      </c>
    </row>
    <row r="152" customFormat="false" ht="15" hidden="false" customHeight="false" outlineLevel="0" collapsed="false">
      <c r="D152" s="8" t="n">
        <f aca="false">D151+$B$19</f>
        <v>1.46</v>
      </c>
      <c r="E152" s="9" t="n">
        <f aca="false">$B$5*D152^2+$B$6*D152+$B$7</f>
        <v>0.365199999999997</v>
      </c>
    </row>
    <row r="153" customFormat="false" ht="15" hidden="false" customHeight="false" outlineLevel="0" collapsed="false">
      <c r="D153" s="8" t="n">
        <f aca="false">D152+$B$19</f>
        <v>1.47</v>
      </c>
      <c r="E153" s="9" t="n">
        <f aca="false">$B$5*D153^2+$B$6*D153+$B$7</f>
        <v>0.337299999999997</v>
      </c>
    </row>
    <row r="154" customFormat="false" ht="15" hidden="false" customHeight="false" outlineLevel="0" collapsed="false">
      <c r="D154" s="8" t="n">
        <f aca="false">D153+$B$19</f>
        <v>1.48</v>
      </c>
      <c r="E154" s="9" t="n">
        <f aca="false">$B$5*D154^2+$B$6*D154+$B$7</f>
        <v>0.308799999999996</v>
      </c>
    </row>
    <row r="155" customFormat="false" ht="15" hidden="false" customHeight="false" outlineLevel="0" collapsed="false">
      <c r="D155" s="8" t="n">
        <f aca="false">D154+$B$19</f>
        <v>1.49</v>
      </c>
      <c r="E155" s="9" t="n">
        <f aca="false">$B$5*D155^2+$B$6*D155+$B$7</f>
        <v>0.279699999999997</v>
      </c>
    </row>
    <row r="156" customFormat="false" ht="15" hidden="false" customHeight="false" outlineLevel="0" collapsed="false">
      <c r="D156" s="8" t="n">
        <f aca="false">D155+$B$19</f>
        <v>1.5</v>
      </c>
      <c r="E156" s="9" t="n">
        <f aca="false">$B$5*D156^2+$B$6*D156+$B$7</f>
        <v>0.249999999999996</v>
      </c>
    </row>
    <row r="157" customFormat="false" ht="15" hidden="false" customHeight="false" outlineLevel="0" collapsed="false">
      <c r="D157" s="8" t="n">
        <f aca="false">D156+$B$19</f>
        <v>1.51</v>
      </c>
      <c r="E157" s="9" t="n">
        <f aca="false">$B$5*D157^2+$B$6*D157+$B$7</f>
        <v>0.219699999999995</v>
      </c>
    </row>
    <row r="158" customFormat="false" ht="15" hidden="false" customHeight="false" outlineLevel="0" collapsed="false">
      <c r="D158" s="8" t="n">
        <f aca="false">D157+$B$19</f>
        <v>1.52</v>
      </c>
      <c r="E158" s="9" t="n">
        <f aca="false">$B$5*D158^2+$B$6*D158+$B$7</f>
        <v>0.188799999999995</v>
      </c>
    </row>
    <row r="159" customFormat="false" ht="15" hidden="false" customHeight="false" outlineLevel="0" collapsed="false">
      <c r="D159" s="8" t="n">
        <f aca="false">D158+$B$19</f>
        <v>1.53</v>
      </c>
      <c r="E159" s="9" t="n">
        <f aca="false">$B$5*D159^2+$B$6*D159+$B$7</f>
        <v>0.157299999999996</v>
      </c>
    </row>
    <row r="160" customFormat="false" ht="15" hidden="false" customHeight="false" outlineLevel="0" collapsed="false">
      <c r="D160" s="8" t="n">
        <f aca="false">D159+$B$19</f>
        <v>1.54</v>
      </c>
      <c r="E160" s="9" t="n">
        <f aca="false">$B$5*D160^2+$B$6*D160+$B$7</f>
        <v>0.125199999999997</v>
      </c>
    </row>
    <row r="161" customFormat="false" ht="15" hidden="false" customHeight="false" outlineLevel="0" collapsed="false">
      <c r="D161" s="8" t="n">
        <f aca="false">D160+$B$19</f>
        <v>1.55</v>
      </c>
      <c r="E161" s="9" t="n">
        <f aca="false">$B$5*D161^2+$B$6*D161+$B$7</f>
        <v>0.0924999999999976</v>
      </c>
    </row>
    <row r="162" customFormat="false" ht="15" hidden="false" customHeight="false" outlineLevel="0" collapsed="false">
      <c r="D162" s="8" t="n">
        <f aca="false">D161+$B$19</f>
        <v>1.56</v>
      </c>
      <c r="E162" s="9" t="n">
        <f aca="false">$B$5*D162^2+$B$6*D162+$B$7</f>
        <v>0.0591999999999953</v>
      </c>
    </row>
    <row r="163" customFormat="false" ht="15" hidden="false" customHeight="false" outlineLevel="0" collapsed="false">
      <c r="D163" s="8" t="n">
        <f aca="false">D162+$B$19</f>
        <v>1.57</v>
      </c>
      <c r="E163" s="9" t="n">
        <f aca="false">$B$5*D163^2+$B$6*D163+$B$7</f>
        <v>0.0252999999999961</v>
      </c>
    </row>
    <row r="164" customFormat="false" ht="15" hidden="false" customHeight="false" outlineLevel="0" collapsed="false">
      <c r="D164" s="8" t="n">
        <f aca="false">D163+$B$19</f>
        <v>1.58</v>
      </c>
      <c r="E164" s="9" t="n">
        <f aca="false">$B$5*D164^2+$B$6*D164+$B$7</f>
        <v>-0.00920000000000432</v>
      </c>
    </row>
    <row r="165" customFormat="false" ht="15" hidden="false" customHeight="false" outlineLevel="0" collapsed="false">
      <c r="D165" s="8" t="n">
        <f aca="false">D164+$B$19</f>
        <v>1.59</v>
      </c>
      <c r="E165" s="9" t="n">
        <f aca="false">$B$5*D165^2+$B$6*D165+$B$7</f>
        <v>-0.0443000000000051</v>
      </c>
    </row>
    <row r="166" customFormat="false" ht="15" hidden="false" customHeight="false" outlineLevel="0" collapsed="false">
      <c r="D166" s="8" t="n">
        <f aca="false">D165+$B$19</f>
        <v>1.6</v>
      </c>
      <c r="E166" s="9" t="n">
        <f aca="false">$B$5*D166^2+$B$6*D166+$B$7</f>
        <v>-0.0800000000000054</v>
      </c>
    </row>
    <row r="167" customFormat="false" ht="15" hidden="false" customHeight="false" outlineLevel="0" collapsed="false">
      <c r="D167" s="8" t="n">
        <f aca="false">D166+$B$19</f>
        <v>1.61</v>
      </c>
      <c r="E167" s="9" t="n">
        <f aca="false">$B$5*D167^2+$B$6*D167+$B$7</f>
        <v>-0.116300000000004</v>
      </c>
    </row>
    <row r="168" customFormat="false" ht="15" hidden="false" customHeight="false" outlineLevel="0" collapsed="false">
      <c r="D168" s="8" t="n">
        <f aca="false">D167+$B$19</f>
        <v>1.62</v>
      </c>
      <c r="E168" s="9" t="n">
        <f aca="false">$B$5*D168^2+$B$6*D168+$B$7</f>
        <v>-0.153200000000004</v>
      </c>
    </row>
    <row r="169" customFormat="false" ht="15" hidden="false" customHeight="false" outlineLevel="0" collapsed="false">
      <c r="D169" s="8" t="n">
        <f aca="false">D168+$B$19</f>
        <v>1.63</v>
      </c>
      <c r="E169" s="9" t="n">
        <f aca="false">$B$5*D169^2+$B$6*D169+$B$7</f>
        <v>-0.190700000000003</v>
      </c>
    </row>
    <row r="170" customFormat="false" ht="15" hidden="false" customHeight="false" outlineLevel="0" collapsed="false">
      <c r="D170" s="8" t="n">
        <f aca="false">D169+$B$19</f>
        <v>1.64</v>
      </c>
      <c r="E170" s="9" t="n">
        <f aca="false">$B$5*D170^2+$B$6*D170+$B$7</f>
        <v>-0.228800000000005</v>
      </c>
    </row>
    <row r="171" customFormat="false" ht="15" hidden="false" customHeight="false" outlineLevel="0" collapsed="false">
      <c r="D171" s="8" t="n">
        <f aca="false">D170+$B$19</f>
        <v>1.65</v>
      </c>
      <c r="E171" s="9" t="n">
        <f aca="false">$B$5*D171^2+$B$6*D171+$B$7</f>
        <v>-0.267500000000005</v>
      </c>
    </row>
    <row r="172" customFormat="false" ht="15" hidden="false" customHeight="false" outlineLevel="0" collapsed="false">
      <c r="D172" s="8" t="n">
        <f aca="false">D171+$B$19</f>
        <v>1.66</v>
      </c>
      <c r="E172" s="9" t="n">
        <f aca="false">$B$5*D172^2+$B$6*D172+$B$7</f>
        <v>-0.306800000000004</v>
      </c>
    </row>
    <row r="173" customFormat="false" ht="15" hidden="false" customHeight="false" outlineLevel="0" collapsed="false">
      <c r="D173" s="8" t="n">
        <f aca="false">D172+$B$19</f>
        <v>1.67</v>
      </c>
      <c r="E173" s="9" t="n">
        <f aca="false">$B$5*D173^2+$B$6*D173+$B$7</f>
        <v>-0.346700000000006</v>
      </c>
    </row>
    <row r="174" customFormat="false" ht="15" hidden="false" customHeight="false" outlineLevel="0" collapsed="false">
      <c r="D174" s="8" t="n">
        <f aca="false">D173+$B$19</f>
        <v>1.68</v>
      </c>
      <c r="E174" s="9" t="n">
        <f aca="false">$B$5*D174^2+$B$6*D174+$B$7</f>
        <v>-0.387200000000005</v>
      </c>
    </row>
    <row r="175" customFormat="false" ht="15" hidden="false" customHeight="false" outlineLevel="0" collapsed="false">
      <c r="D175" s="8" t="n">
        <f aca="false">D174+$B$19</f>
        <v>1.69</v>
      </c>
      <c r="E175" s="9" t="n">
        <f aca="false">$B$5*D175^2+$B$6*D175+$B$7</f>
        <v>-0.428300000000005</v>
      </c>
    </row>
    <row r="176" customFormat="false" ht="15" hidden="false" customHeight="false" outlineLevel="0" collapsed="false">
      <c r="D176" s="8" t="n">
        <f aca="false">D175+$B$19</f>
        <v>1.7</v>
      </c>
      <c r="E176" s="9" t="n">
        <f aca="false">$B$5*D176^2+$B$6*D176+$B$7</f>
        <v>-0.470000000000006</v>
      </c>
    </row>
    <row r="177" customFormat="false" ht="15" hidden="false" customHeight="false" outlineLevel="0" collapsed="false">
      <c r="D177" s="8" t="n">
        <f aca="false">D176+$B$19</f>
        <v>1.71</v>
      </c>
      <c r="E177" s="9" t="n">
        <f aca="false">$B$5*D177^2+$B$6*D177+$B$7</f>
        <v>-0.512300000000005</v>
      </c>
    </row>
    <row r="178" customFormat="false" ht="15" hidden="false" customHeight="false" outlineLevel="0" collapsed="false">
      <c r="D178" s="8" t="n">
        <f aca="false">D177+$B$19</f>
        <v>1.72</v>
      </c>
      <c r="E178" s="9" t="n">
        <f aca="false">$B$5*D178^2+$B$6*D178+$B$7</f>
        <v>-0.555200000000006</v>
      </c>
    </row>
    <row r="179" customFormat="false" ht="15" hidden="false" customHeight="false" outlineLevel="0" collapsed="false">
      <c r="D179" s="8" t="n">
        <f aca="false">D178+$B$19</f>
        <v>1.73</v>
      </c>
      <c r="E179" s="9" t="n">
        <f aca="false">$B$5*D179^2+$B$6*D179+$B$7</f>
        <v>-0.598700000000006</v>
      </c>
    </row>
    <row r="180" customFormat="false" ht="15" hidden="false" customHeight="false" outlineLevel="0" collapsed="false">
      <c r="D180" s="8" t="n">
        <f aca="false">D179+$B$19</f>
        <v>1.74</v>
      </c>
      <c r="E180" s="9" t="n">
        <f aca="false">$B$5*D180^2+$B$6*D180+$B$7</f>
        <v>-0.642800000000005</v>
      </c>
    </row>
    <row r="181" customFormat="false" ht="15" hidden="false" customHeight="false" outlineLevel="0" collapsed="false">
      <c r="D181" s="8" t="n">
        <f aca="false">D180+$B$19</f>
        <v>1.75</v>
      </c>
      <c r="E181" s="9" t="n">
        <f aca="false">$B$5*D181^2+$B$6*D181+$B$7</f>
        <v>-0.687500000000007</v>
      </c>
    </row>
    <row r="182" customFormat="false" ht="15" hidden="false" customHeight="false" outlineLevel="0" collapsed="false">
      <c r="D182" s="8" t="n">
        <f aca="false">D181+$B$19</f>
        <v>1.76</v>
      </c>
      <c r="E182" s="9" t="n">
        <f aca="false">$B$5*D182^2+$B$6*D182+$B$7</f>
        <v>-0.732800000000006</v>
      </c>
    </row>
    <row r="183" customFormat="false" ht="15" hidden="false" customHeight="false" outlineLevel="0" collapsed="false">
      <c r="D183" s="8" t="n">
        <f aca="false">D182+$B$19</f>
        <v>1.77</v>
      </c>
      <c r="E183" s="9" t="n">
        <f aca="false">$B$5*D183^2+$B$6*D183+$B$7</f>
        <v>-0.778700000000006</v>
      </c>
    </row>
    <row r="184" customFormat="false" ht="15" hidden="false" customHeight="false" outlineLevel="0" collapsed="false">
      <c r="D184" s="8" t="n">
        <f aca="false">D183+$B$19</f>
        <v>1.78</v>
      </c>
      <c r="E184" s="9" t="n">
        <f aca="false">$B$5*D184^2+$B$6*D184+$B$7</f>
        <v>-0.825200000000006</v>
      </c>
    </row>
    <row r="185" customFormat="false" ht="15" hidden="false" customHeight="false" outlineLevel="0" collapsed="false">
      <c r="D185" s="8" t="n">
        <f aca="false">D184+$B$19</f>
        <v>1.79</v>
      </c>
      <c r="E185" s="9" t="n">
        <f aca="false">$B$5*D185^2+$B$6*D185+$B$7</f>
        <v>-0.872300000000006</v>
      </c>
    </row>
    <row r="186" customFormat="false" ht="15" hidden="false" customHeight="false" outlineLevel="0" collapsed="false">
      <c r="D186" s="8" t="n">
        <f aca="false">D185+$B$19</f>
        <v>1.8</v>
      </c>
      <c r="E186" s="9" t="n">
        <f aca="false">$B$5*D186^2+$B$6*D186+$B$7</f>
        <v>-0.920000000000007</v>
      </c>
    </row>
    <row r="187" customFormat="false" ht="15" hidden="false" customHeight="false" outlineLevel="0" collapsed="false">
      <c r="D187" s="8" t="n">
        <f aca="false">D186+$B$19</f>
        <v>1.81</v>
      </c>
      <c r="E187" s="9" t="n">
        <f aca="false">$B$5*D187^2+$B$6*D187+$B$7</f>
        <v>-0.968300000000006</v>
      </c>
    </row>
    <row r="188" customFormat="false" ht="15" hidden="false" customHeight="false" outlineLevel="0" collapsed="false">
      <c r="D188" s="8" t="n">
        <f aca="false">D187+$B$19</f>
        <v>1.82</v>
      </c>
      <c r="E188" s="9" t="n">
        <f aca="false">$B$5*D188^2+$B$6*D188+$B$7</f>
        <v>-1.01720000000001</v>
      </c>
    </row>
    <row r="189" customFormat="false" ht="15" hidden="false" customHeight="false" outlineLevel="0" collapsed="false">
      <c r="D189" s="8" t="n">
        <f aca="false">D188+$B$19</f>
        <v>1.83</v>
      </c>
      <c r="E189" s="9" t="n">
        <f aca="false">$B$5*D189^2+$B$6*D189+$B$7</f>
        <v>-1.06670000000001</v>
      </c>
    </row>
    <row r="190" customFormat="false" ht="15" hidden="false" customHeight="false" outlineLevel="0" collapsed="false">
      <c r="D190" s="8" t="n">
        <f aca="false">D189+$B$19</f>
        <v>1.84</v>
      </c>
      <c r="E190" s="9" t="n">
        <f aca="false">$B$5*D190^2+$B$6*D190+$B$7</f>
        <v>-1.11680000000001</v>
      </c>
    </row>
    <row r="191" customFormat="false" ht="15" hidden="false" customHeight="false" outlineLevel="0" collapsed="false">
      <c r="D191" s="8" t="n">
        <f aca="false">D190+$B$19</f>
        <v>1.85</v>
      </c>
      <c r="E191" s="9" t="n">
        <f aca="false">$B$5*D191^2+$B$6*D191+$B$7</f>
        <v>-1.16750000000001</v>
      </c>
    </row>
    <row r="192" customFormat="false" ht="15" hidden="false" customHeight="false" outlineLevel="0" collapsed="false">
      <c r="D192" s="8" t="n">
        <f aca="false">D191+$B$19</f>
        <v>1.86</v>
      </c>
      <c r="E192" s="9" t="n">
        <f aca="false">$B$5*D192^2+$B$6*D192+$B$7</f>
        <v>-1.21880000000001</v>
      </c>
    </row>
    <row r="193" customFormat="false" ht="15" hidden="false" customHeight="false" outlineLevel="0" collapsed="false">
      <c r="D193" s="8" t="n">
        <f aca="false">D192+$B$19</f>
        <v>1.87</v>
      </c>
      <c r="E193" s="9" t="n">
        <f aca="false">$B$5*D193^2+$B$6*D193+$B$7</f>
        <v>-1.27070000000001</v>
      </c>
    </row>
    <row r="194" customFormat="false" ht="15" hidden="false" customHeight="false" outlineLevel="0" collapsed="false">
      <c r="D194" s="8" t="n">
        <f aca="false">D193+$B$19</f>
        <v>1.88</v>
      </c>
      <c r="E194" s="9" t="n">
        <f aca="false">$B$5*D194^2+$B$6*D194+$B$7</f>
        <v>-1.32320000000001</v>
      </c>
    </row>
    <row r="195" customFormat="false" ht="15" hidden="false" customHeight="false" outlineLevel="0" collapsed="false">
      <c r="D195" s="8" t="n">
        <f aca="false">D194+$B$19</f>
        <v>1.89</v>
      </c>
      <c r="E195" s="9" t="n">
        <f aca="false">$B$5*D195^2+$B$6*D195+$B$7</f>
        <v>-1.37630000000001</v>
      </c>
    </row>
    <row r="196" customFormat="false" ht="15" hidden="false" customHeight="false" outlineLevel="0" collapsed="false">
      <c r="D196" s="8" t="n">
        <f aca="false">D195+$B$19</f>
        <v>1.9</v>
      </c>
      <c r="E196" s="9" t="n">
        <f aca="false">$B$5*D196^2+$B$6*D196+$B$7</f>
        <v>-1.43000000000001</v>
      </c>
    </row>
    <row r="197" customFormat="false" ht="15" hidden="false" customHeight="false" outlineLevel="0" collapsed="false">
      <c r="D197" s="8" t="n">
        <f aca="false">D196+$B$19</f>
        <v>1.91</v>
      </c>
      <c r="E197" s="9" t="n">
        <f aca="false">$B$5*D197^2+$B$6*D197+$B$7</f>
        <v>-1.48430000000001</v>
      </c>
    </row>
    <row r="198" customFormat="false" ht="15" hidden="false" customHeight="false" outlineLevel="0" collapsed="false">
      <c r="D198" s="8" t="n">
        <f aca="false">D197+$B$19</f>
        <v>1.92</v>
      </c>
      <c r="E198" s="9" t="n">
        <f aca="false">$B$5*D198^2+$B$6*D198+$B$7</f>
        <v>-1.53920000000001</v>
      </c>
    </row>
    <row r="199" customFormat="false" ht="15" hidden="false" customHeight="false" outlineLevel="0" collapsed="false">
      <c r="D199" s="8" t="n">
        <f aca="false">D198+$B$19</f>
        <v>1.93</v>
      </c>
      <c r="E199" s="9" t="n">
        <f aca="false">$B$5*D199^2+$B$6*D199+$B$7</f>
        <v>-1.59470000000001</v>
      </c>
    </row>
    <row r="200" customFormat="false" ht="15" hidden="false" customHeight="false" outlineLevel="0" collapsed="false">
      <c r="D200" s="8" t="n">
        <f aca="false">D199+$B$19</f>
        <v>1.94</v>
      </c>
      <c r="E200" s="9" t="n">
        <f aca="false">$B$5*D200^2+$B$6*D200+$B$7</f>
        <v>-1.65080000000001</v>
      </c>
    </row>
    <row r="201" customFormat="false" ht="15" hidden="false" customHeight="false" outlineLevel="0" collapsed="false">
      <c r="D201" s="8" t="n">
        <f aca="false">D200+$B$19</f>
        <v>1.95</v>
      </c>
      <c r="E201" s="9" t="n">
        <f aca="false">$B$5*D201^2+$B$6*D201+$B$7</f>
        <v>-1.70750000000001</v>
      </c>
    </row>
    <row r="202" customFormat="false" ht="15" hidden="false" customHeight="false" outlineLevel="0" collapsed="false">
      <c r="D202" s="8" t="n">
        <f aca="false">D201+$B$19</f>
        <v>1.96</v>
      </c>
      <c r="E202" s="9" t="n">
        <f aca="false">$B$5*D202^2+$B$6*D202+$B$7</f>
        <v>-1.76480000000001</v>
      </c>
    </row>
    <row r="203" customFormat="false" ht="15" hidden="false" customHeight="false" outlineLevel="0" collapsed="false">
      <c r="D203" s="8" t="n">
        <f aca="false">D202+$B$19</f>
        <v>1.97</v>
      </c>
      <c r="E203" s="9" t="n">
        <f aca="false">$B$5*D203^2+$B$6*D203+$B$7</f>
        <v>-1.82270000000001</v>
      </c>
    </row>
    <row r="204" customFormat="false" ht="15" hidden="false" customHeight="false" outlineLevel="0" collapsed="false">
      <c r="D204" s="8" t="n">
        <f aca="false">D203+$B$19</f>
        <v>1.98</v>
      </c>
      <c r="E204" s="9" t="n">
        <f aca="false">$B$5*D204^2+$B$6*D204+$B$7</f>
        <v>-1.88120000000001</v>
      </c>
    </row>
    <row r="205" customFormat="false" ht="15" hidden="false" customHeight="false" outlineLevel="0" collapsed="false">
      <c r="D205" s="8" t="n">
        <f aca="false">D204+$B$19</f>
        <v>1.99</v>
      </c>
      <c r="E205" s="9" t="n">
        <f aca="false">$B$5*D205^2+$B$6*D205+$B$7</f>
        <v>-1.94030000000001</v>
      </c>
    </row>
    <row r="206" customFormat="false" ht="15" hidden="false" customHeight="false" outlineLevel="0" collapsed="false">
      <c r="D206" s="8" t="n">
        <f aca="false">D205+$B$19</f>
        <v>2</v>
      </c>
      <c r="E206" s="9" t="n">
        <f aca="false">$B$5*D206^2+$B$6*D206+$B$7</f>
        <v>-2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5" min="4" style="0" width="10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3" t="s">
        <v>2</v>
      </c>
      <c r="D4" s="3" t="s">
        <v>34</v>
      </c>
    </row>
    <row r="5" customFormat="false" ht="15" hidden="false" customHeight="false" outlineLevel="0" collapsed="false">
      <c r="A5" s="4" t="s">
        <v>35</v>
      </c>
      <c r="B5" s="5" t="n">
        <v>54.99</v>
      </c>
      <c r="D5" s="6" t="s">
        <v>36</v>
      </c>
      <c r="E5" s="6" t="s">
        <v>37</v>
      </c>
      <c r="F5" s="6" t="s">
        <v>38</v>
      </c>
    </row>
    <row r="6" customFormat="false" ht="15" hidden="false" customHeight="false" outlineLevel="0" collapsed="false">
      <c r="A6" s="4" t="s">
        <v>39</v>
      </c>
      <c r="B6" s="17" t="n">
        <v>0.0249</v>
      </c>
      <c r="D6" s="14" t="n">
        <f aca="false">B7</f>
        <v>2008</v>
      </c>
      <c r="E6" s="14" t="n">
        <f aca="false">D6-$B$7</f>
        <v>0</v>
      </c>
      <c r="F6" s="8" t="n">
        <f aca="false">$B$5*(1+$B$6)^E6</f>
        <v>54.99</v>
      </c>
    </row>
    <row r="7" customFormat="false" ht="15" hidden="false" customHeight="false" outlineLevel="0" collapsed="false">
      <c r="A7" s="4" t="s">
        <v>40</v>
      </c>
      <c r="B7" s="18" t="n">
        <v>2008</v>
      </c>
      <c r="D7" s="14" t="n">
        <f aca="false">D6+1</f>
        <v>2009</v>
      </c>
      <c r="E7" s="14" t="n">
        <f aca="false">D7-$B$7</f>
        <v>1</v>
      </c>
      <c r="F7" s="8" t="n">
        <f aca="false">$B$5*(1+$B$6)^E7</f>
        <v>56.359251</v>
      </c>
    </row>
    <row r="8" customFormat="false" ht="15" hidden="false" customHeight="false" outlineLevel="0" collapsed="false">
      <c r="D8" s="14" t="n">
        <f aca="false">D7+1</f>
        <v>2010</v>
      </c>
      <c r="E8" s="14" t="n">
        <f aca="false">D8-$B$7</f>
        <v>2</v>
      </c>
      <c r="F8" s="8" t="n">
        <f aca="false">$B$5*(1+$B$6)^E8</f>
        <v>57.7625963499</v>
      </c>
    </row>
    <row r="9" customFormat="false" ht="15" hidden="false" customHeight="false" outlineLevel="0" collapsed="false">
      <c r="A9" s="3" t="s">
        <v>41</v>
      </c>
      <c r="D9" s="14" t="n">
        <f aca="false">D8+1</f>
        <v>2011</v>
      </c>
      <c r="E9" s="14" t="n">
        <f aca="false">D9-$B$7</f>
        <v>3</v>
      </c>
      <c r="F9" s="8" t="n">
        <f aca="false">$B$5*(1+$B$6)^E9</f>
        <v>59.2008849990125</v>
      </c>
    </row>
    <row r="10" customFormat="false" ht="15" hidden="false" customHeight="false" outlineLevel="0" collapsed="false">
      <c r="A10" s="4" t="s">
        <v>42</v>
      </c>
      <c r="B10" s="13" t="n">
        <f aca="false">INDEX(F6:F23,MATCH(2015,D6:D23,0))</f>
        <v>65.3212025787324</v>
      </c>
      <c r="D10" s="14" t="n">
        <f aca="false">D9+1</f>
        <v>2012</v>
      </c>
      <c r="E10" s="14" t="n">
        <f aca="false">D10-$B$7</f>
        <v>4</v>
      </c>
      <c r="F10" s="8" t="n">
        <f aca="false">$B$5*(1+$B$6)^E10</f>
        <v>60.6749870354879</v>
      </c>
    </row>
    <row r="11" customFormat="false" ht="15" hidden="false" customHeight="false" outlineLevel="0" collapsed="false">
      <c r="A11" s="4" t="s">
        <v>43</v>
      </c>
      <c r="B11" s="13" t="n">
        <f aca="false">INDEX(F6:F23,MATCH(2025,D6:D23,0))</f>
        <v>83.5351204033797</v>
      </c>
      <c r="D11" s="14" t="n">
        <f aca="false">D10+1</f>
        <v>2013</v>
      </c>
      <c r="E11" s="14" t="n">
        <f aca="false">D11-$B$7</f>
        <v>5</v>
      </c>
      <c r="F11" s="8" t="n">
        <f aca="false">$B$5*(1+$B$6)^E11</f>
        <v>62.1857942126716</v>
      </c>
    </row>
    <row r="12" customFormat="false" ht="15" hidden="false" customHeight="false" outlineLevel="0" collapsed="false">
      <c r="A12" s="4" t="s">
        <v>44</v>
      </c>
      <c r="B12" s="19" t="n">
        <f aca="false">B11/B5-1</f>
        <v>0.519096570346966</v>
      </c>
      <c r="D12" s="14" t="n">
        <f aca="false">D11+1</f>
        <v>2014</v>
      </c>
      <c r="E12" s="14" t="n">
        <f aca="false">D12-$B$7</f>
        <v>6</v>
      </c>
      <c r="F12" s="8" t="n">
        <f aca="false">$B$5*(1+$B$6)^E12</f>
        <v>63.7342204885671</v>
      </c>
    </row>
    <row r="13" customFormat="false" ht="15" hidden="false" customHeight="false" outlineLevel="0" collapsed="false">
      <c r="D13" s="14" t="n">
        <f aca="false">D12+1</f>
        <v>2015</v>
      </c>
      <c r="E13" s="14" t="n">
        <f aca="false">D13-$B$7</f>
        <v>7</v>
      </c>
      <c r="F13" s="8" t="n">
        <f aca="false">$B$5*(1+$B$6)^E13</f>
        <v>65.3212025787324</v>
      </c>
    </row>
    <row r="14" customFormat="false" ht="15" hidden="false" customHeight="false" outlineLevel="0" collapsed="false">
      <c r="D14" s="14" t="n">
        <f aca="false">D13+1</f>
        <v>2016</v>
      </c>
      <c r="E14" s="14" t="n">
        <f aca="false">D14-$B$7</f>
        <v>8</v>
      </c>
      <c r="F14" s="8" t="n">
        <f aca="false">$B$5*(1+$B$6)^E14</f>
        <v>66.9477005229428</v>
      </c>
    </row>
    <row r="15" customFormat="false" ht="15" hidden="false" customHeight="false" outlineLevel="0" collapsed="false">
      <c r="D15" s="14" t="n">
        <f aca="false">D14+1</f>
        <v>2017</v>
      </c>
      <c r="E15" s="14" t="n">
        <f aca="false">D15-$B$7</f>
        <v>9</v>
      </c>
      <c r="F15" s="8" t="n">
        <f aca="false">$B$5*(1+$B$6)^E15</f>
        <v>68.6146982659641</v>
      </c>
    </row>
    <row r="16" customFormat="false" ht="15" hidden="false" customHeight="false" outlineLevel="0" collapsed="false">
      <c r="D16" s="14" t="n">
        <f aca="false">D15+1</f>
        <v>2018</v>
      </c>
      <c r="E16" s="14" t="n">
        <f aca="false">D16-$B$7</f>
        <v>10</v>
      </c>
      <c r="F16" s="8" t="n">
        <f aca="false">$B$5*(1+$B$6)^E16</f>
        <v>70.3232042527866</v>
      </c>
    </row>
    <row r="17" customFormat="false" ht="15" hidden="false" customHeight="false" outlineLevel="0" collapsed="false">
      <c r="D17" s="14" t="n">
        <f aca="false">D16+1</f>
        <v>2019</v>
      </c>
      <c r="E17" s="14" t="n">
        <f aca="false">D17-$B$7</f>
        <v>11</v>
      </c>
      <c r="F17" s="8" t="n">
        <f aca="false">$B$5*(1+$B$6)^E17</f>
        <v>72.074252038681</v>
      </c>
    </row>
    <row r="18" customFormat="false" ht="15" hidden="false" customHeight="false" outlineLevel="0" collapsed="false">
      <c r="D18" s="14" t="n">
        <f aca="false">D17+1</f>
        <v>2020</v>
      </c>
      <c r="E18" s="14" t="n">
        <f aca="false">D18-$B$7</f>
        <v>12</v>
      </c>
      <c r="F18" s="8" t="n">
        <f aca="false">$B$5*(1+$B$6)^E18</f>
        <v>73.8689009144441</v>
      </c>
    </row>
    <row r="19" customFormat="false" ht="15" hidden="false" customHeight="false" outlineLevel="0" collapsed="false">
      <c r="D19" s="14" t="n">
        <f aca="false">D18+1</f>
        <v>2021</v>
      </c>
      <c r="E19" s="14" t="n">
        <f aca="false">D19-$B$7</f>
        <v>13</v>
      </c>
      <c r="F19" s="8" t="n">
        <f aca="false">$B$5*(1+$B$6)^E19</f>
        <v>75.7082365472138</v>
      </c>
    </row>
    <row r="20" customFormat="false" ht="15" hidden="false" customHeight="false" outlineLevel="0" collapsed="false">
      <c r="D20" s="14" t="n">
        <f aca="false">D19+1</f>
        <v>2022</v>
      </c>
      <c r="E20" s="14" t="n">
        <f aca="false">D20-$B$7</f>
        <v>14</v>
      </c>
      <c r="F20" s="8" t="n">
        <f aca="false">$B$5*(1+$B$6)^E20</f>
        <v>77.5933716372394</v>
      </c>
    </row>
    <row r="21" customFormat="false" ht="15" hidden="false" customHeight="false" outlineLevel="0" collapsed="false">
      <c r="D21" s="14" t="n">
        <f aca="false">D20+1</f>
        <v>2023</v>
      </c>
      <c r="E21" s="14" t="n">
        <f aca="false">D21-$B$7</f>
        <v>15</v>
      </c>
      <c r="F21" s="8" t="n">
        <f aca="false">$B$5*(1+$B$6)^E21</f>
        <v>79.5254465910066</v>
      </c>
    </row>
    <row r="22" customFormat="false" ht="15" hidden="false" customHeight="false" outlineLevel="0" collapsed="false">
      <c r="D22" s="14" t="n">
        <f aca="false">D21+1</f>
        <v>2024</v>
      </c>
      <c r="E22" s="14" t="n">
        <f aca="false">D22-$B$7</f>
        <v>16</v>
      </c>
      <c r="F22" s="8" t="n">
        <f aca="false">$B$5*(1+$B$6)^E22</f>
        <v>81.5056302111227</v>
      </c>
    </row>
    <row r="23" customFormat="false" ht="15" hidden="false" customHeight="false" outlineLevel="0" collapsed="false">
      <c r="D23" s="14" t="n">
        <f aca="false">D22+1</f>
        <v>2025</v>
      </c>
      <c r="E23" s="14" t="n">
        <f aca="false">D23-$B$7</f>
        <v>17</v>
      </c>
      <c r="F23" s="8" t="n">
        <f aca="false">$B$5*(1+$B$6)^E23</f>
        <v>83.5351204033797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5" hidden="false" customHeight="false" outlineLevel="0" collapsed="false">
      <c r="A4" s="3" t="s">
        <v>47</v>
      </c>
    </row>
    <row r="5" customFormat="false" ht="15" hidden="false" customHeight="false" outlineLevel="0" collapsed="false">
      <c r="A5" s="4" t="s">
        <v>48</v>
      </c>
      <c r="B5" s="5" t="n">
        <v>3</v>
      </c>
    </row>
    <row r="6" customFormat="false" ht="15" hidden="false" customHeight="false" outlineLevel="0" collapsed="false">
      <c r="A6" s="4" t="s">
        <v>49</v>
      </c>
      <c r="B6" s="18" t="n">
        <v>1600</v>
      </c>
    </row>
    <row r="7" customFormat="false" ht="15" hidden="false" customHeight="false" outlineLevel="0" collapsed="false">
      <c r="A7" s="4" t="s">
        <v>50</v>
      </c>
      <c r="B7" s="20" t="n">
        <v>0.67</v>
      </c>
    </row>
    <row r="8" customFormat="false" ht="15" hidden="false" customHeight="false" outlineLevel="0" collapsed="false">
      <c r="A8" s="4" t="s">
        <v>51</v>
      </c>
      <c r="B8" s="18" t="n">
        <v>1954</v>
      </c>
    </row>
    <row r="9" customFormat="false" ht="15" hidden="false" customHeight="false" outlineLevel="0" collapsed="false">
      <c r="A9" s="4" t="s">
        <v>52</v>
      </c>
      <c r="B9" s="13" t="n">
        <f aca="false">B6*LN(B7)/LN(0.5)</f>
        <v>924.427198907124</v>
      </c>
    </row>
    <row r="10" customFormat="false" ht="15" hidden="false" customHeight="false" outlineLevel="0" collapsed="false">
      <c r="A10" s="4" t="s">
        <v>53</v>
      </c>
      <c r="B10" s="13" t="n">
        <f aca="false">B8+B9</f>
        <v>2878.42719890712</v>
      </c>
    </row>
    <row r="11" customFormat="false" ht="15" hidden="false" customHeight="false" outlineLevel="0" collapsed="false">
      <c r="A11" s="4" t="s">
        <v>54</v>
      </c>
      <c r="B11" s="9" t="n">
        <f aca="false">B5*0.5^(B9/B6)</f>
        <v>2.01</v>
      </c>
    </row>
    <row r="13" customFormat="false" ht="15" hidden="false" customHeight="false" outlineLevel="0" collapsed="false">
      <c r="A13" s="3" t="s">
        <v>55</v>
      </c>
    </row>
    <row r="14" customFormat="false" ht="15" hidden="false" customHeight="false" outlineLevel="0" collapsed="false">
      <c r="A14" s="4" t="s">
        <v>56</v>
      </c>
      <c r="B14" s="21" t="n">
        <f aca="false">Teht2!B5</f>
        <v>54.99</v>
      </c>
    </row>
    <row r="15" customFormat="false" ht="15" hidden="false" customHeight="false" outlineLevel="0" collapsed="false">
      <c r="A15" s="4" t="s">
        <v>57</v>
      </c>
      <c r="B15" s="22" t="n">
        <f aca="false">Teht2!B6</f>
        <v>0.0249</v>
      </c>
    </row>
    <row r="16" customFormat="false" ht="15" hidden="false" customHeight="false" outlineLevel="0" collapsed="false">
      <c r="A16" s="4" t="s">
        <v>58</v>
      </c>
      <c r="B16" s="5" t="n">
        <v>100</v>
      </c>
    </row>
    <row r="17" customFormat="false" ht="15" hidden="false" customHeight="false" outlineLevel="0" collapsed="false">
      <c r="A17" s="4" t="s">
        <v>59</v>
      </c>
      <c r="B17" s="13" t="n">
        <f aca="false">LN(B16/B14)/LN(1+B15)</f>
        <v>24.3146044398591</v>
      </c>
    </row>
    <row r="18" customFormat="false" ht="15" hidden="false" customHeight="false" outlineLevel="0" collapsed="false">
      <c r="A18" s="4" t="s">
        <v>60</v>
      </c>
      <c r="B18" s="13" t="n">
        <f aca="false">Teht2!B7+B17</f>
        <v>2032.31460443986</v>
      </c>
    </row>
    <row r="19" customFormat="false" ht="15" hidden="false" customHeight="false" outlineLevel="0" collapsed="false">
      <c r="A19" s="4" t="s">
        <v>61</v>
      </c>
      <c r="B19" s="8" t="n">
        <f aca="false">B14*(1+B15)^B17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4" t="s">
        <v>64</v>
      </c>
      <c r="B4" s="23" t="n">
        <v>0.717</v>
      </c>
    </row>
    <row r="5" customFormat="false" ht="15" hidden="false" customHeight="false" outlineLevel="0" collapsed="false">
      <c r="A5" s="4" t="s">
        <v>65</v>
      </c>
      <c r="B5" s="23" t="n">
        <v>0.715</v>
      </c>
    </row>
    <row r="6" customFormat="false" ht="15" hidden="false" customHeight="false" outlineLevel="0" collapsed="false">
      <c r="A6" s="4" t="s">
        <v>66</v>
      </c>
      <c r="B6" s="23" t="n">
        <v>0.76</v>
      </c>
    </row>
    <row r="8" customFormat="false" ht="15" hidden="false" customHeight="false" outlineLevel="0" collapsed="false">
      <c r="A8" s="4" t="s">
        <v>67</v>
      </c>
      <c r="B8" s="24" t="n">
        <f aca="false">(B6-B4)*100</f>
        <v>4.3</v>
      </c>
    </row>
    <row r="9" customFormat="false" ht="15" hidden="false" customHeight="false" outlineLevel="0" collapsed="false">
      <c r="A9" s="4" t="s">
        <v>68</v>
      </c>
      <c r="B9" s="25" t="n">
        <f aca="false">(B6-B4)/B4</f>
        <v>0.0599721059972107</v>
      </c>
    </row>
    <row r="10" customFormat="false" ht="15" hidden="false" customHeight="false" outlineLevel="0" collapsed="false">
      <c r="A10" s="4" t="s">
        <v>69</v>
      </c>
      <c r="B10" s="25" t="n">
        <f aca="false">(B5-B4)/B4</f>
        <v>-0.00278940027894003</v>
      </c>
    </row>
    <row r="11" customFormat="false" ht="15" hidden="false" customHeight="false" outlineLevel="0" collapsed="false">
      <c r="A11" s="4" t="s">
        <v>70</v>
      </c>
      <c r="B11" s="25" t="n">
        <f aca="false">-B10</f>
        <v>0.00278940027894003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2026-09-27T08:11:41Z</dcterms:created>
  <dc:creator>openpyxl</dc:creator>
  <dc:description/>
  <dc:language>en-US</dc:language>
  <cp:lastModifiedBy/>
  <dcterms:modified xsi:type="dcterms:W3CDTF">2026-09-27T08:11:43Z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